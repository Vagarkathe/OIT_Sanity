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ms-office.classificationlabels+xml" PartName="/docMetadata/LabelInfo.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151.xml"/>
  <Override ContentType="application/vnd.ms-excel.controlproperties+xml" PartName="/xl/ctrlProps/ctrlProp1.xml"/>
  <Override ContentType="application/vnd.openxmlformats-officedocument.drawing+xml" PartName="/xl/drawings/drawing1.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eetMetadata+xml" PartName="/xl/metadata.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151.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Metadata/LabelInfo.xml" Type="http://schemas.microsoft.com/office/2020/02/relationships/classificationlabels"/><Relationship Id="rId3" Target="docProps/core.xml" Type="http://schemas.openxmlformats.org/package/2006/relationships/metadata/core-properties"/><Relationship Id="rId4" Target="docProps/app.xml" Type="http://schemas.openxmlformats.org/officeDocument/2006/relationships/extended-properties"/><Relationship Id="rId5"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601" codeName="{AE6600E7-7A62-396C-DE95-9942FA9DD81E}"/>
  <workbookPr showInkAnnotation="0" codeName="ThisWorkbook" defaultThemeVersion="124226"/>
  <mc:AlternateContent>
    <mc:Choice Requires="x15">
      <x15ac:absPath xmlns:x15ac="http://schemas.microsoft.com/office/spreadsheetml/2010/11/ac" url="C:\Project\obs-mvn\cleaner\bigornow\src\main\resources\web\"/>
    </mc:Choice>
  </mc:AlternateContent>
  <xr:revisionPtr revIDLastSave="0" documentId="13_ncr:1_{D2D61DEB-8708-4871-BD8D-5B26AA45A709}" xr6:coauthVersionLast="47" xr6:coauthVersionMax="47" xr10:uidLastSave="{00000000-0000-0000-0000-000000000000}"/>
  <bookViews>
    <workbookView xWindow="-14235" yWindow="16080" windowWidth="29040" windowHeight="15840" tabRatio="343" xr2:uid="{00000000-000D-0000-FFFF-FFFF00000000}" activeTab="0"/>
  </bookViews>
  <sheets>
    <sheet name="Index" sheetId="144" r:id="rId1"/>
    <sheet name="Document" sheetId="149" r:id="rId2"/>
    <sheet name="Config" sheetId="137" state="hidden" r:id="rId4"/>
    <sheet name="Conf_categ" sheetId="140" state="hidden" r:id="rId5"/>
    <sheet name="Conf_Format" sheetId="143" state="hidden" r:id="rId6"/>
    <sheet name="BYPASS" r:id="rId16" sheetId="151"/>
  </sheets>
  <definedNames>
    <definedName name="_xlnm._FilterDatabase" localSheetId="2" hidden="1">Config!$N$1:$O$180</definedName>
    <definedName name="Common">Conf_categ!$D$2:$D$6</definedName>
    <definedName name="Connectivity">Conf_categ!$E$2:$E$6</definedName>
    <definedName name="Device">Conf_categ!$F$2:$F$6</definedName>
    <definedName name="Device_Communication">Conf_categ!$F$2:$F$6</definedName>
    <definedName name="Enterprise_Management">Conf_categ!$G$2:$G$16</definedName>
    <definedName name="EV__LASTREFTIME__" hidden="1">38743.7447800926</definedName>
    <definedName name="Finance">Conf_categ!$H$2:$H$15</definedName>
    <definedName name="Infrastructure">Conf_categ!$I$2</definedName>
    <definedName name="Market_and_Customer_Relationship_Management">Conf_categ!$J$2:$J$18</definedName>
    <definedName name="Near_Network">Conf_categ!$K$2</definedName>
    <definedName name="Not_Specified">Conf_categ!$C$2:$C$2</definedName>
    <definedName name="Offer_and_Product_Development_Mgt_and_Operations">Conf_categ!$L$2:$L$11</definedName>
    <definedName name="Ref_Author" localSheetId="1">Document!$G$9</definedName>
    <definedName name="Ref_Author">#REF!</definedName>
    <definedName name="Ref_Date" localSheetId="1">Document!$G$6</definedName>
    <definedName name="Ref_Date">#REF!</definedName>
    <definedName name="Ref_Project" localSheetId="1">Document!$E$12</definedName>
    <definedName name="Ref_Project">#REF!</definedName>
    <definedName name="Ref_Reference" localSheetId="1">Document!$G$4</definedName>
    <definedName name="Ref_Reference">#REF!</definedName>
    <definedName name="Ref_Status" localSheetId="1">Document!$G$7</definedName>
    <definedName name="Ref_Status">#REF!</definedName>
    <definedName name="Ref_SubProject" localSheetId="1">Document!$E$14</definedName>
    <definedName name="Ref_SubProject">#REF!</definedName>
    <definedName name="Ref_Title" localSheetId="1">Document!$E$13</definedName>
    <definedName name="Ref_Title">#REF!</definedName>
    <definedName name="Ref_URL" localSheetId="1">Document!$G$11</definedName>
    <definedName name="Ref_URL">#REF!</definedName>
    <definedName name="Ref_Usage" localSheetId="1">Document!$G$8</definedName>
    <definedName name="Ref_Usage">#REF!</definedName>
    <definedName name="Ref_Validation" localSheetId="1">Document!$G$10</definedName>
    <definedName name="Ref_Validation">#REF!</definedName>
    <definedName name="Ref_Version" localSheetId="1">Document!$G$5</definedName>
    <definedName name="Ref_Version">#REF!</definedName>
    <definedName name="Resource_Development_Management_and_Operations">Conf_categ!$M$2:$M$10</definedName>
    <definedName name="Service">Conf_categ!$N$2:$N$6</definedName>
    <definedName name="Service_Control">Conf_categ!$O$2</definedName>
    <definedName name="Service_Core">Conf_categ!$P$2</definedName>
    <definedName name="Service_Development_Management_and_Operations">Conf_categ!$Q$2:$Q$10</definedName>
    <definedName name="Service_Enabling">Conf_categ!$R$2:$R$5</definedName>
    <definedName name="Service_Gateway">Conf_categ!$S$2:$S$6</definedName>
    <definedName name="Supplier_Partner_Development_and_Relationship_Mgt">Conf_categ!$T$2:$T$4</definedName>
    <definedName name="tbd">Conf_categ!$U$2</definedName>
    <definedName name="User">Conf_categ!$V$2</definedName>
  </definedNames>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PENCOLE Hermann OBS/CMI</author>
  </authors>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LOHER Francois Ext OBS/CMI</author>
    <author>DELCROS Antoine Ext OBS/OGSB</author>
  </authors>
  <commentList>
    <comment ref="E13" authorId="1">
      <text>
        <t xml:space="preserve">from Basicat on fileName
Use real BASICAT defined on OrangeCarto if you can't, thank to contact Data Management team.
</t>
      </text>
    </comment>
    <comment ref="E14" authorId="1">
      <text>
        <t>Use real DATASOURCE Name defined on OrangeCarto if you can't, thank to contact Data Management team.</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PENCOLE Hermann OBS/CMI</author>
    <author>DELCROS Antoine Ext OBS/OGSB</author>
    <author>FLORECK Pierrick Ext OBS/CMI</author>
    <author>CLAVEAU Francois OBS/CMI</author>
  </authors>
  <commentList>
    <comment ref="A1" authorId="0" shapeId="0" xr:uid="{00000000-0006-0000-0200-000001000000}">
      <text>
        <r>
          <rPr>
            <b/>
            <sz val="9"/>
            <color indexed="81"/>
            <rFont val="Tahoma"/>
            <family val="2"/>
          </rPr>
          <t>Author:
jx:area(lastCell="X120")</t>
        </r>
        <r>
          <rPr>
            <sz val="9"/>
            <color indexed="81"/>
            <rFont val="Tahoma"/>
            <family val="2"/>
          </rPr>
          <t xml:space="preserve">
jxeach(items="datasets", var="dataset", lastCell="X120" multisheet="dataset.sheetName")</t>
        </r>
      </text>
    </comment>
    <comment ref="I14" authorId="1" shapeId="0" xr:uid="{00000000-0006-0000-0200-000002000000}">
      <text>
        <r>
          <rPr>
            <b/>
            <sz val="9"/>
            <color indexed="81"/>
            <rFont val="Tahoma"/>
            <family val="2"/>
          </rPr>
          <t>Example of Prepared DataSet Extract.
Will be used for give example on EDH Catalog</t>
        </r>
      </text>
    </comment>
    <comment ref="C15" authorId="1" shapeId="0" xr:uid="{00000000-0006-0000-0200-000003000000}">
      <text>
        <r>
          <rPr>
            <b/>
            <sz val="9"/>
            <color indexed="81"/>
            <rFont val="Tahoma"/>
            <family val="2"/>
          </rPr>
          <t>Actuellement seul le DATALAKE est utilisé.
Pourra être nécessaire par exemple, lorsque des partitions KMS seront utilisées.</t>
        </r>
      </text>
    </comment>
    <comment ref="F15" authorId="1" shapeId="0" xr:uid="{00000000-0006-0000-0200-000004000000}">
      <text>
        <r>
          <rPr>
            <b/>
            <sz val="9"/>
            <color indexed="81"/>
            <rFont val="Tahoma"/>
            <family val="2"/>
          </rPr>
          <t>To activate automatic purge :
      -  N for the number of retention days ;
      -  "-1" to deactivate purge
      -  "DEFAULT" to inherite of the default delay of retention.
CAUTION  : the value 0 (zero) means daily deletion of files.</t>
        </r>
      </text>
    </comment>
    <comment ref="F16" authorId="1" shapeId="0" xr:uid="{00000000-0006-0000-0200-000005000000}">
      <text>
        <r>
          <rPr>
            <b/>
            <sz val="9"/>
            <color indexed="81"/>
            <rFont val="Tahoma"/>
            <family val="2"/>
          </rPr>
          <t>To activate automatic purge :
      -  N for the number of retention days ;
      -  "-1" to deactivate purge
      -  "DEFAULT" to inherite of the default delay of retention.
CAUTION  : the value 0 (zero) means daily deletion of files.</t>
        </r>
      </text>
    </comment>
    <comment ref="B17" authorId="1" shapeId="0" xr:uid="{00000000-0006-0000-0200-000006000000}">
      <text>
        <r>
          <rPr>
            <sz val="9"/>
            <color indexed="81"/>
            <rFont val="Tahoma"/>
            <family val="2"/>
          </rPr>
          <t xml:space="preserve">Must be the same that the SheetName
</t>
        </r>
      </text>
    </comment>
    <comment ref="F17" authorId="1" shapeId="0" xr:uid="{00000000-0006-0000-0200-000007000000}">
      <text>
        <r>
          <rPr>
            <b/>
            <sz val="9"/>
            <color indexed="81"/>
            <rFont val="Tahoma"/>
            <family val="2"/>
          </rPr>
          <t>Calculated field</t>
        </r>
      </text>
    </comment>
    <comment ref="C18" authorId="1" shapeId="0" xr:uid="{00000000-0006-0000-0200-000008000000}">
      <text>
        <r>
          <rPr>
            <b/>
            <sz val="9"/>
            <color indexed="81"/>
            <rFont val="Tahoma"/>
            <family val="2"/>
          </rPr>
          <t>Nécessaire à la définition du DataSet dans le catalog</t>
        </r>
      </text>
    </comment>
    <comment ref="F18" authorId="1" shapeId="0" xr:uid="{00000000-0006-0000-0200-000009000000}">
      <text>
        <r>
          <rPr>
            <b/>
            <sz val="9"/>
            <color indexed="81"/>
            <rFont val="Tahoma"/>
            <family val="2"/>
          </rPr>
          <t>Calculated field</t>
        </r>
      </text>
    </comment>
    <comment ref="F19" authorId="1" shapeId="0" xr:uid="{00000000-0006-0000-0200-00000A000000}">
      <text>
        <r>
          <rPr>
            <b/>
            <sz val="9"/>
            <color indexed="81"/>
            <rFont val="Tahoma"/>
            <family val="2"/>
          </rPr>
          <t>Calculated field</t>
        </r>
      </text>
    </comment>
    <comment ref="C21" authorId="1" shapeId="0" xr:uid="{00000000-0006-0000-0200-00000B000000}">
      <text>
        <r>
          <rPr>
            <b/>
            <sz val="9"/>
            <color indexed="81"/>
            <rFont val="Tahoma"/>
            <family val="2"/>
          </rPr>
          <t>Give if exists the number of day of retention of the file by the partnair system.</t>
        </r>
      </text>
    </comment>
    <comment ref="C22" authorId="1" shapeId="0" xr:uid="{00000000-0006-0000-0200-00000C000000}">
      <text>
        <r>
          <rPr>
            <b/>
            <sz val="9"/>
            <color indexed="81"/>
            <rFont val="Tahoma"/>
            <family val="2"/>
          </rPr>
          <t>If it is possible give an estimation of file size in Mo.
This information is not used actually</t>
        </r>
      </text>
    </comment>
    <comment ref="C23" authorId="1" shapeId="0" xr:uid="{00000000-0006-0000-0200-00000D000000}">
      <text>
        <r>
          <rPr>
            <b/>
            <sz val="9"/>
            <color indexed="81"/>
            <rFont val="Tahoma"/>
            <family val="2"/>
          </rPr>
          <t>Not Use actually</t>
        </r>
      </text>
    </comment>
    <comment ref="C24" authorId="1" shapeId="0" xr:uid="{00000000-0006-0000-0200-00000E000000}">
      <text>
        <r>
          <rPr>
            <b/>
            <sz val="9"/>
            <color indexed="81"/>
            <rFont val="Tahoma"/>
            <family val="2"/>
          </rPr>
          <t>Orange SID Classification of the dataset.
If you don't know witch SID choose, please contact Data Management Team</t>
        </r>
      </text>
    </comment>
    <comment ref="C25" authorId="1" shapeId="0" xr:uid="{E288BB3E-9F15-4BEF-886B-AFE80A987718}">
      <text>
        <r>
          <rPr>
            <b/>
            <sz val="9"/>
            <color indexed="81"/>
            <rFont val="Tahoma"/>
            <family val="2"/>
          </rPr>
          <t>ingestion Mode.
If you don't know witch value choose, please contact DSIEP team.</t>
        </r>
      </text>
    </comment>
    <comment ref="C45" authorId="1" shapeId="0" xr:uid="{00000000-0006-0000-0200-000010000000}">
      <text>
        <r>
          <rPr>
            <b/>
            <sz val="9"/>
            <color indexed="81"/>
            <rFont val="Tahoma"/>
            <family val="2"/>
          </rPr>
          <t>FAST-592 : For, the mioment, this mod is apply only with "http" connector.</t>
        </r>
      </text>
    </comment>
    <comment ref="M45" authorId="1" shapeId="0" xr:uid="{00000000-0006-0000-0200-000011000000}">
      <text>
        <r>
          <rPr>
            <b/>
            <sz val="9"/>
            <color indexed="81"/>
            <rFont val="Tahoma"/>
            <family val="2"/>
          </rPr>
          <t>For this field, you can specify various values by environnement using tags  INT:  UAT: PROD:</t>
        </r>
      </text>
    </comment>
    <comment ref="J46" authorId="0" shapeId="0" xr:uid="{99216894-D3F2-4246-B4ED-3AE3B22C8B19}">
      <text>
        <r>
          <rPr>
            <b/>
            <sz val="9"/>
            <color indexed="81"/>
            <rFont val="Tahoma"/>
            <family val="2"/>
          </rPr>
          <t>For rename '&lt;DATASETNAME&gt;" received by FLOW
       :   Use  foloowing format   :  
inputDataSet1}={outDataSet1},{inputDataSet2}={outDataSet2}</t>
        </r>
      </text>
    </comment>
    <comment ref="M47" authorId="1" shapeId="0" xr:uid="{00000000-0006-0000-0200-000013000000}">
      <text>
        <r>
          <rPr>
            <b/>
            <sz val="9"/>
            <color indexed="81"/>
            <rFont val="Tahoma"/>
            <family val="2"/>
          </rPr>
          <t>For this field, you can specify various values by environnement using tags  INT:  UAT: PROD:</t>
        </r>
      </text>
    </comment>
    <comment ref="C48" authorId="2" shapeId="0" xr:uid="{00000000-0006-0000-0200-000014000000}">
      <text>
        <r>
          <rPr>
            <b/>
            <sz val="9"/>
            <color indexed="81"/>
            <rFont val="Tahoma"/>
            <family val="2"/>
          </rPr>
          <t xml:space="preserve">Use to calculate fresh_ts value, corresponding to the date in the filename
On ingestion used for FLOW and MultipleSFTP
</t>
        </r>
        <r>
          <rPr>
            <sz val="9"/>
            <color indexed="81"/>
            <rFont val="Tahoma"/>
            <family val="2"/>
          </rPr>
          <t xml:space="preserve">It can be a regular expression.
</t>
        </r>
        <r>
          <rPr>
            <b/>
            <sz val="9"/>
            <color indexed="81"/>
            <rFont val="Tahoma"/>
            <family val="2"/>
          </rPr>
          <t>you can use some tags:
&lt;</t>
        </r>
        <r>
          <rPr>
            <sz val="9"/>
            <color indexed="81"/>
            <rFont val="Tahoma"/>
            <family val="2"/>
          </rPr>
          <t xml:space="preserve"><![CDATA[DATASETNAME>
<YYYY>
<MM>
<DD>
<HH>
<MI>
<SS>
]]></t>
        </r>
      </text>
    </comment>
    <comment ref="M48" authorId="1" shapeId="0" xr:uid="{00000000-0006-0000-0200-000015000000}">
      <text>
        <r>
          <rPr>
            <b/>
            <sz val="9"/>
            <color indexed="81"/>
            <rFont val="Tahoma"/>
            <family val="2"/>
          </rPr>
          <t>For this field, you can specify various values by environnement using tags  INT:  UAT: PROD:</t>
        </r>
      </text>
    </comment>
    <comment ref="C49" authorId="2" shapeId="0" xr:uid="{00000000-0006-0000-0200-000016000000}">
      <text>
        <r>
          <rPr>
            <b/>
            <sz val="9"/>
            <color indexed="81"/>
            <rFont val="Tahoma"/>
            <family val="2"/>
          </rPr>
          <t xml:space="preserve">Only used for HTTP, SFTP and MultipleSFTP
</t>
        </r>
        <r>
          <rPr>
            <sz val="9"/>
            <color indexed="81"/>
            <rFont val="Tahoma"/>
            <family val="2"/>
          </rPr>
          <t xml:space="preserve">It can be a regular expression.
</t>
        </r>
        <r>
          <rPr>
            <b/>
            <sz val="9"/>
            <color indexed="81"/>
            <rFont val="Tahoma"/>
            <family val="2"/>
          </rPr>
          <t xml:space="preserve">
You can use some tags:
</t>
        </r>
        <r>
          <rPr>
            <sz val="9"/>
            <color indexed="81"/>
            <rFont val="Tahoma"/>
            <family val="2"/>
          </rPr>
          <t xml:space="preserve">&lt;YYYY&gt; 
&lt;MM&gt; 
&lt;DD&gt; </t>
        </r>
        <r>
          <rPr>
            <b/>
            <sz val="9"/>
            <color indexed="81"/>
            <rFont val="Tahoma"/>
            <family val="2"/>
          </rPr>
          <t xml:space="preserve">
For MultipleSFTP, you can also use:
</t>
        </r>
        <r>
          <rPr>
            <sz val="9"/>
            <color indexed="81"/>
            <rFont val="Tahoma"/>
            <family val="2"/>
          </rPr>
          <t xml:space="preserve">&lt;hh&gt; 
&lt;mm&gt; </t>
        </r>
      </text>
    </comment>
    <comment ref="M49" authorId="1" shapeId="0" xr:uid="{00000000-0006-0000-0200-000017000000}">
      <text>
        <r>
          <rPr>
            <b/>
            <sz val="9"/>
            <color indexed="81"/>
            <rFont val="Tahoma"/>
            <family val="2"/>
          </rPr>
          <t>For this field, you can specify various values by environnement using tags  INT:  UAT: PROD:</t>
        </r>
      </text>
    </comment>
    <comment ref="C50" authorId="1" shapeId="0" xr:uid="{00000000-0006-0000-0200-000018000000}">
      <text>
        <r>
          <rPr>
            <b/>
            <sz val="9"/>
            <color indexed="81"/>
            <rFont val="Tahoma"/>
            <family val="2"/>
          </rPr>
          <t xml:space="preserve">For multiple FTP if empty, permanetly listen SFTP directory.
If not  use CRON  to listen SFTP directory.
CRON syntax
mm hh jj MMM JJJ tâche
    mm représente les minutes (de 0 à 59)
    hh représente l'heure (de 0 à 23)
    jj représente le numéro du jour du mois (de 1 à 31)
    MMM représente l'abréviation du nom du mois (jan, feb, ...) ou bien le numéro du mois (de 1 à 12)
    JJJ représente l'abréviation du nom du jour ou bien le numéro du jour dans la semaine :
        SUN = SUNDAY
        MON = MONDAY
        …
        SAT = SATURDAY
  /!\  Si "jj" est valorisé alors "JJJ" doit être égal à "?"
         Si "JJJ" est valorisé alors "jj" doit être égal à "?"
Pour chaque valeur numérique (mm, hh, jj, MMM, JJJ) les notations possibles sont :
    * : à chaque unité (0, 1, 2, 3, 4…)
    5,8 : les unités 5 et 8
    2-5 : les unités de 2 à 5 (2, 3, 4, 5)
    */3 : toutes les 3 unités (0, 3, 6, 9…)
    10-20/3 : toutes les 3 unités, entre la dixième et la vingtième (10, 13, 16, 19)
</t>
        </r>
      </text>
    </comment>
    <comment ref="F50" authorId="1" shapeId="0" xr:uid="{00000000-0006-0000-0200-000019000000}">
      <text>
        <r>
          <rPr>
            <b/>
            <sz val="9"/>
            <color indexed="81"/>
            <rFont val="Tahoma"/>
            <family val="2"/>
          </rPr>
          <t>To put file in the partition corresponding of the LastModificationTime instead of the date of the Filename.</t>
        </r>
      </text>
    </comment>
    <comment ref="M50" authorId="1" shapeId="0" xr:uid="{00000000-0006-0000-0200-00001A000000}">
      <text>
        <r>
          <rPr>
            <b/>
            <sz val="9"/>
            <color indexed="81"/>
            <rFont val="Tahoma"/>
            <family val="2"/>
          </rPr>
          <t>For this field, you can specify various values by environnement using tags  INT:  UAT: PROD:</t>
        </r>
      </text>
    </comment>
    <comment ref="C51" authorId="1" shapeId="0" xr:uid="{00000000-0006-0000-0200-00001B000000}">
      <text>
        <r>
          <rPr>
            <b/>
            <sz val="9"/>
            <color indexed="81"/>
            <rFont val="Tahoma"/>
            <family val="2"/>
          </rPr>
          <t>Actuellement seule la partition par jour est utilisable, si besoin de plus ou moins de granularité, il faut loguer une US</t>
        </r>
      </text>
    </comment>
    <comment ref="M51" authorId="1" shapeId="0" xr:uid="{00000000-0006-0000-0200-00001C000000}">
      <text>
        <r>
          <rPr>
            <b/>
            <sz val="9"/>
            <color indexed="81"/>
            <rFont val="Tahoma"/>
            <family val="2"/>
          </rPr>
          <t>For this field, you can specify various values by environnement using tags  INT:  UAT: PROD:</t>
        </r>
      </text>
    </comment>
    <comment ref="M52" authorId="1" shapeId="0" xr:uid="{00000000-0006-0000-0200-00001D000000}">
      <text>
        <r>
          <rPr>
            <b/>
            <sz val="9"/>
            <color indexed="81"/>
            <rFont val="Tahoma"/>
            <family val="2"/>
          </rPr>
          <t>For this field, you can specify various values by environnement using tags  INT:  UAT: PROD:</t>
        </r>
      </text>
    </comment>
    <comment ref="J53" authorId="1" shapeId="0" xr:uid="{00000000-0006-0000-0200-00001E000000}">
      <text>
        <r>
          <rPr>
            <b/>
            <sz val="9"/>
            <color indexed="81"/>
            <rFont val="Tahoma"/>
            <family val="2"/>
          </rPr>
          <t>list sperated by comma</t>
        </r>
      </text>
    </comment>
    <comment ref="M53" authorId="1" shapeId="0" xr:uid="{00000000-0006-0000-0200-00001F000000}">
      <text>
        <r>
          <rPr>
            <b/>
            <sz val="9"/>
            <color indexed="81"/>
            <rFont val="Tahoma"/>
            <family val="2"/>
          </rPr>
          <t>For this field, you can specify various values by environnement using tags  INT:  UAT: PROD:</t>
        </r>
      </text>
    </comment>
    <comment ref="M55" authorId="3" shapeId="0" xr:uid="{65B4059C-EFF3-4712-A1A1-3F46D6416DC3}">
      <text>
        <r>
          <rPr>
            <sz val="9"/>
            <color indexed="81"/>
            <rFont val="Tahoma"/>
            <family val="2"/>
          </rPr>
          <t xml:space="preserve">Provide either the account JSON filename here, or directly the JSON content in the cell below
</t>
        </r>
      </text>
    </comment>
    <comment ref="C56" authorId="1" shapeId="0" xr:uid="{00000000-0006-0000-0200-000020000000}">
      <text>
        <r>
          <rPr>
            <b/>
            <sz val="9"/>
            <color indexed="81"/>
            <rFont val="Tahoma"/>
            <family val="2"/>
          </rPr>
          <t>If you need another Encodage format, please contact US</t>
        </r>
      </text>
    </comment>
    <comment ref="J56" authorId="0" shapeId="0" xr:uid="{D39C71EA-B0C1-4387-8765-D6CB400CCD54}">
      <text>
        <r>
          <rPr>
            <b/>
            <sz val="9"/>
            <color indexed="81"/>
            <rFont val="Tahoma"/>
            <family val="2"/>
          </rPr>
          <t>For rename '&lt;DATASETNAME&gt;" received by FLOW
       :   Use  foloowing format   :  
inputDataSet1}={outDataSet1},{inputDataSet2}={outDataSet2}</t>
        </r>
        <r>
          <rPr>
            <sz val="9"/>
            <color indexed="81"/>
            <rFont val="Tahoma"/>
            <family val="2"/>
          </rPr>
          <t xml:space="preserve">
</t>
        </r>
      </text>
    </comment>
    <comment ref="M56" authorId="3" shapeId="0" xr:uid="{615567B0-1435-47E8-BE90-08F4DE9A329B}">
      <text>
        <r>
          <rPr>
            <sz val="9"/>
            <color indexed="81"/>
            <rFont val="Tahoma"/>
            <family val="2"/>
          </rPr>
          <t>Provide either the account JSON here, or the JSON filename in the cell above</t>
        </r>
      </text>
    </comment>
    <comment ref="C57" authorId="1" shapeId="0" xr:uid="{00000000-0006-0000-0200-000021000000}">
      <text>
        <r>
          <rPr>
            <b/>
            <sz val="9"/>
            <color indexed="81"/>
            <rFont val="Tahoma"/>
            <family val="2"/>
          </rPr>
          <t>sep (default ,): sets a single character as a separator for each field and value.</t>
        </r>
      </text>
    </comment>
    <comment ref="C58" authorId="1" shapeId="0" xr:uid="{00000000-0006-0000-0200-000022000000}">
      <text>
        <r>
          <rPr>
            <b/>
            <sz val="9"/>
            <color indexed="81"/>
            <rFont val="Tahoma"/>
            <family val="2"/>
          </rPr>
          <t>escape (default \): sets a single character used for escaping quotes inside an already quoted value.</t>
        </r>
      </text>
    </comment>
    <comment ref="J58" authorId="1" shapeId="0" xr:uid="{58919FF2-4ED1-4F37-98FB-CAAAD41BF051}">
      <text>
        <r>
          <rPr>
            <b/>
            <sz val="9"/>
            <color indexed="81"/>
            <rFont val="Tahoma"/>
            <family val="2"/>
          </rPr>
          <t>Sizing : S if &lt; 500, M if &lt; 2000, L other
For this field, you can specify various values by environnement using tags  INT:  UAT: PROD:</t>
        </r>
      </text>
    </comment>
    <comment ref="C59" authorId="1" shapeId="0" xr:uid="{00000000-0006-0000-0200-000023000000}">
      <text>
        <r>
          <rPr>
            <b/>
            <sz val="9"/>
            <color indexed="81"/>
            <rFont val="Tahoma"/>
            <family val="2"/>
          </rPr>
          <t>nanValue (default NaN): sets the string representation of a non-number" value</t>
        </r>
      </text>
    </comment>
    <comment ref="C60" authorId="1" shapeId="0" xr:uid="{00000000-0006-0000-0200-000025000000}">
      <text>
        <r>
          <rPr>
            <b/>
            <sz val="9"/>
            <color indexed="81"/>
            <rFont val="Tahoma"/>
            <family val="2"/>
          </rPr>
          <t>comment (default empty string): sets a single character used for skipping lines beginning with this character. By default, it is disabled.</t>
        </r>
      </text>
    </comment>
    <comment ref="J60" authorId="1" shapeId="0" xr:uid="{00000000-0006-0000-0200-000024000000}">
      <text>
        <r>
          <rPr>
            <b/>
            <sz val="9"/>
            <color indexed="81"/>
            <rFont val="Tahoma"/>
            <family val="2"/>
          </rPr>
          <t>For this field, you can specify various values by environnement using tags  INT:  UAT: PROD:</t>
        </r>
      </text>
    </comment>
    <comment ref="C61" authorId="1" shapeId="0" xr:uid="{00000000-0006-0000-0200-000026000000}">
      <text>
        <r>
          <rPr>
            <b/>
            <sz val="9"/>
            <color indexed="81"/>
            <rFont val="Tahoma"/>
            <family val="2"/>
          </rPr>
          <t>multiLine (default false): parse one record, which may span multiple lines.</t>
        </r>
      </text>
    </comment>
    <comment ref="F61" authorId="1" shapeId="0" xr:uid="{00000000-0006-0000-0200-000027000000}">
      <text>
        <r>
          <rPr>
            <b/>
            <sz val="9"/>
            <color indexed="81"/>
            <rFont val="Tahoma"/>
            <family val="2"/>
          </rPr>
          <t>Field for define a timeout of the JDBC request. 
Value in seconds</t>
        </r>
      </text>
    </comment>
    <comment ref="C62" authorId="1" shapeId="0" xr:uid="{00000000-0006-0000-0200-000028000000}">
      <text>
        <r>
          <rPr>
            <b/>
            <sz val="9"/>
            <color indexed="81"/>
            <rFont val="Tahoma"/>
            <family val="2"/>
          </rPr>
          <t>quote (default "): sets a single character used for escaping quoted values where the separator can be part of the value. If you would like to turn off quotations, you need to set not null but an empty string. This behaviour is different from com.databricks.spark.csv.</t>
        </r>
      </text>
    </comment>
    <comment ref="B67" authorId="1" shapeId="0" xr:uid="{00000000-0006-0000-0200-000029000000}">
      <text>
        <r>
          <rPr>
            <b/>
            <sz val="9"/>
            <color indexed="81"/>
            <rFont val="Tahoma"/>
            <family val="2"/>
          </rPr>
          <t>Use by default for all date if DetailFormat is not precised</t>
        </r>
      </text>
    </comment>
    <comment ref="D68" authorId="1" shapeId="0" xr:uid="{00000000-0006-0000-0200-00002A000000}">
      <text>
        <r>
          <rPr>
            <b/>
            <sz val="9"/>
            <color indexed="81"/>
            <rFont val="Tahoma"/>
            <family val="2"/>
          </rPr>
          <t>To manage the language specifity (date format, number format, etc;)
https://www.oracle.com/technetwork/java/javase/java8locales-2095355.html
https://jira.si.fr.intraorange/browse/FAST-386</t>
        </r>
      </text>
    </comment>
    <comment ref="F68" authorId="1" shapeId="0" xr:uid="{9D1E172B-D64D-46B0-B447-3179A5ED64D7}">
      <text>
        <r>
          <rPr>
            <b/>
            <sz val="9"/>
            <color indexed="81"/>
            <rFont val="Tahoma"/>
            <family val="2"/>
          </rPr>
          <t>For this field, you can specify various values by environnement using tags  INT:  UAT: PROD:</t>
        </r>
      </text>
    </comment>
    <comment ref="F69" authorId="1" shapeId="0" xr:uid="{29E95A4E-4BC4-4077-AF73-350BC915A2D4}">
      <text>
        <r>
          <rPr>
            <b/>
            <sz val="9"/>
            <color indexed="81"/>
            <rFont val="Tahoma"/>
            <family val="2"/>
          </rPr>
          <t>For this field, you can specify various values by environnement using tags  INT:  UAT: PROD:</t>
        </r>
      </text>
    </comment>
    <comment ref="F70" authorId="1" shapeId="0" xr:uid="{1DDDD880-F50A-4F11-8361-CC5A787FD5DD}">
      <text>
        <r>
          <rPr>
            <b/>
            <sz val="9"/>
            <color indexed="81"/>
            <rFont val="Tahoma"/>
            <family val="2"/>
          </rPr>
          <t>Sizing : S if &lt; 500, M if &lt; 2000, L other
For this field, you can specify various values by environnement using tags  INT:  UAT: PROD:</t>
        </r>
      </text>
    </comment>
    <comment ref="F71" authorId="1" shapeId="0" xr:uid="{AB090954-5B8B-44F3-A40D-2D0394B256C9}">
      <text>
        <r>
          <rPr>
            <b/>
            <sz val="9"/>
            <color indexed="81"/>
            <rFont val="Tahoma"/>
            <family val="2"/>
          </rPr>
          <t>For this field, you can specify various values by environnement using tags  INT:  UAT: PROD:
None : the process does not count header in the total lines and don't take the header.
Inject: the process inject the header with the first line then don't count in the total.
One: the process counts only one line even if the header is several lines long
All: the process counts all lines in the total lines</t>
        </r>
      </text>
    </comment>
    <comment ref="C82" authorId="1" shapeId="0" xr:uid="{00000000-0006-0000-0200-00002E000000}">
      <text>
        <r>
          <rPr>
            <b/>
            <sz val="9"/>
            <color indexed="81"/>
            <rFont val="Tahoma"/>
            <family val="2"/>
          </rPr>
          <t>1   : For remove the first line 
2   : For remove the 2 first lines
. . . 
n   : For remove the n first lines</t>
        </r>
      </text>
    </comment>
    <comment ref="G82" authorId="1" shapeId="0" xr:uid="{00000000-0006-0000-0200-00002F000000}">
      <text>
        <r>
          <rPr>
            <b/>
            <sz val="9"/>
            <color indexed="81"/>
            <rFont val="Tahoma"/>
            <family val="2"/>
          </rPr>
          <t xml:space="preserve">Definition of spark driver / spark Executor configuration
https://confluence.si.fr.intraorange/display/ETCP/3.ENRICHER+Excel+definition </t>
        </r>
      </text>
    </comment>
    <comment ref="C83" authorId="1" shapeId="0" xr:uid="{00000000-0006-0000-0200-000030000000}">
      <text>
        <r>
          <rPr>
            <b/>
            <sz val="9"/>
            <color indexed="81"/>
            <rFont val="Tahoma"/>
            <family val="2"/>
          </rPr>
          <t>1   : For remove the last line 
2   : For remove the 2 last lines
. . . 
n   : For remove the n last lines</t>
        </r>
      </text>
    </comment>
    <comment ref="G83" authorId="1" shapeId="0" xr:uid="{00000000-0006-0000-0200-000031000000}">
      <text>
        <r>
          <rPr>
            <b/>
            <sz val="9"/>
            <color indexed="81"/>
            <rFont val="Tahoma"/>
            <family val="2"/>
          </rPr>
          <t>Specific spark configuration if CUSTOM is selected in "Spark Size" list</t>
        </r>
      </text>
    </comment>
    <comment ref="G86" authorId="1" shapeId="0" xr:uid="{00000000-0006-0000-0200-000032000000}">
      <text>
        <r>
          <rPr>
            <b/>
            <sz val="9"/>
            <color indexed="81"/>
            <rFont val="Tahoma"/>
            <family val="2"/>
          </rPr>
          <t>Specific spark configuration if CUSTOM is selected in "Spark Size" list</t>
        </r>
      </text>
    </comment>
    <comment ref="C88" authorId="1" shapeId="0" xr:uid="{00000000-0006-0000-0200-000033000000}">
      <text>
        <r>
          <rPr>
            <b/>
            <sz val="9"/>
            <color indexed="81"/>
            <rFont val="Tahoma"/>
            <family val="2"/>
          </rPr>
          <t>FAST-387
Only usable for FLOW/SFTP ingestion :
       For an automatic execution of the data preparation when a new file is received.
(The Cleaning Periodicity will be before the hour of ingestion for example 1 0 ? * * )</t>
        </r>
      </text>
    </comment>
    <comment ref="C89" authorId="1" shapeId="0" xr:uid="{00000000-0006-0000-0200-000034000000}">
      <text>
        <r>
          <rPr>
            <b/>
            <sz val="9"/>
            <color indexed="81"/>
            <rFont val="Tahoma"/>
            <family val="2"/>
          </rPr>
          <t>mm hh jj MMM JJJ tâche
    mm représente les minutes (de 0 à 59)
    hh représente l'heure (de 0 à 23)
    jj représente le numéro du jour du mois (de 1 à 31)
    MMM représente l'abréviation du nom du mois (jan, feb, ...) ou bien le numéro du mois (de 1 à 12)
    JJJ représente l'abréviation du nom du jour ou bien le numéro du jour dans la semaine :
        SUN = SUNDAY
        MON = MONDAY
        …
        SAT = SATURDAY
  /!\  Si "jj" est valorisé alors "JJJ" doit être égal à "?"
         Si "JJJ" est valorisé alors "jj" doit être égal à "?"
Pour chaque valeur numérique (mm, hh, jj, MMM, JJJ) les notations possibles sont :
    * : à chaque unité (0, 1, 2, 3, 4…)
    5,8 : les unités 5 et 8
    2-5 : les unités de 2 à 5 (2, 3, 4, 5)
    */3 : toutes les 3 unités (0, 3, 6, 9…)
    10-20/3 : toutes les 3 unités, entre la dixième et la vingtième (10, 13, 16, 19)</t>
        </r>
      </text>
    </comment>
    <comment ref="C90" authorId="1" shapeId="0" xr:uid="{00000000-0006-0000-0200-000035000000}">
      <text>
        <r>
          <rPr>
            <b/>
            <sz val="9"/>
            <color indexed="81"/>
            <rFont val="Tahoma"/>
            <family val="2"/>
          </rPr>
          <t>Actuellement seule la partition par jour est utilisable, si besoin de plus ou moins de granularité, il faut loguer une US</t>
        </r>
      </text>
    </comment>
    <comment ref="C91" authorId="1" shapeId="0" xr:uid="{00000000-0006-0000-0200-000036000000}">
      <text>
        <r>
          <rPr>
            <b/>
            <sz val="9"/>
            <color indexed="81"/>
            <rFont val="Tahoma"/>
            <family val="2"/>
          </rPr>
          <t>By default "current(0)" for preparation of the data with same date of current date.
If you need to process the data of yesterday in the actual partition, so use "current(-1)".</t>
        </r>
      </text>
    </comment>
    <comment ref="C92" authorId="1" shapeId="0" xr:uid="{00000000-0006-0000-0200-000037000000}">
      <text>
        <r>
          <rPr>
            <b/>
            <sz val="9"/>
            <color indexed="81"/>
            <rFont val="Tahoma"/>
            <family val="2"/>
          </rPr>
          <t>To be used if need to prepared a dataSet with another name.
For exemple :
        You ingest FILE.TXT on data_lake.
        You create the datasets FILE_ALL and FILE _ANONIMYZED
         So you must do ingestion and a preparationn in a first sheet 
         and in second sheet you can do another preparation using this value for the DATASET presents in the Data_Lake</t>
        </r>
      </text>
    </comment>
    <comment ref="C93" authorId="1" shapeId="0" xr:uid="{00000000-0006-0000-0200-000038000000}">
      <text>
        <r>
          <rPr>
            <b/>
            <sz val="9"/>
            <color indexed="81"/>
            <rFont val="Tahoma"/>
            <family val="2"/>
          </rPr>
          <t xml:space="preserve">If you want shift functionnal date :
0     : (default) FunctionalData is the same than Execution date
-1    : the data of yesterday prepared in the partition of yesterday 
 </t>
        </r>
      </text>
    </comment>
    <comment ref="G93" authorId="1" shapeId="0" xr:uid="{00000000-0006-0000-0200-000039000000}">
      <text>
        <r>
          <rPr>
            <b/>
            <sz val="9"/>
            <color indexed="81"/>
            <rFont val="Tahoma"/>
            <family val="2"/>
          </rPr>
          <t>Ce champs indique si les Metadata DSIE doivent être placées en début de Dataset ou en fin.
Pour un nouveau DataSet il faut le placer en Début (True).
Si le DataSet est existant, il faut le laisser en Fin en attendant sa migration.
Pour toute question : demander à Pierrick ou Antoine</t>
        </r>
      </text>
    </comment>
    <comment ref="C100" authorId="1" shapeId="0" xr:uid="{CF4E94E4-A49F-4D75-BCE7-2702449733BA}">
      <text>
        <r>
          <rPr>
            <b/>
            <sz val="9"/>
            <color indexed="81"/>
            <rFont val="Tahoma"/>
            <family val="2"/>
          </rPr>
          <t>multiLine (default false): parse one record, which may span multiple lines.</t>
        </r>
      </text>
    </comment>
    <comment ref="N117" authorId="1" shapeId="0" xr:uid="{00000000-0006-0000-0200-00003A000000}">
      <text>
        <r>
          <rPr>
            <b/>
            <sz val="9"/>
            <color indexed="81"/>
            <rFont val="Tahoma"/>
            <family val="2"/>
          </rPr>
          <t>Si le Champs n'est pas renseigne, la valeur sera celle de l'Input</t>
        </r>
      </text>
    </comment>
    <comment ref="A118" authorId="0" shapeId="0" xr:uid="{00000000-0006-0000-0200-00003B000000}">
      <text>
        <r>
          <rPr>
            <b/>
            <sz val="9"/>
            <color indexed="81"/>
            <rFont val="Tahoma"/>
            <family val="2"/>
          </rPr>
          <t>Author:</t>
        </r>
        <r>
          <rPr>
            <sz val="9"/>
            <color indexed="81"/>
            <rFont val="Tahoma"/>
            <family val="2"/>
          </rPr>
          <t xml:space="preserve">
jx:each(items="columns", var="column", lastCell="X118")</t>
        </r>
      </text>
    </comment>
  </commentList>
</comments>
</file>

<file path=xl/comments151.xml><?xml version="1.0" encoding="utf-8"?>
<comments xmlns="http://schemas.openxmlformats.org/spreadsheetml/2006/main">
  <authors>
    <author/>
    <author>PENCOLE Hermann OBS/CMI</author>
    <author>DELCROS Antoine Ext OBS/OGSB</author>
    <author>FLORECK Pierrick Ext OBS/CMI</author>
    <author>CLAVEAU Francois OBS/CMI</author>
  </authors>
  <commentList>
    <comment ref="B17" authorId="2">
      <text>
        <t xml:space="preserve">Must be the same that the SheetName
</t>
      </text>
    </comment>
    <comment ref="B67" authorId="2">
      <text>
        <t>Use by default for all date if DetailFormat is not precised</t>
      </text>
    </comment>
    <comment ref="C15" authorId="2">
      <text>
        <t>Actuellement seul le DATALAKE est utilisé.
Pourra être nécessaire par exemple, lorsque des partitions KMS seront utilisées.</t>
      </text>
    </comment>
    <comment ref="C18" authorId="2">
      <text>
        <t>Nécessaire à la définition du DataSet dans le catalog</t>
      </text>
    </comment>
    <comment ref="C21" authorId="2">
      <text>
        <t>Give if exists the number of day of retention of the file by the partnair system.</t>
      </text>
    </comment>
    <comment ref="C22" authorId="2">
      <text>
        <t>If it is possible give an estimation of file size in Mo.
This information is not used actually</t>
      </text>
    </comment>
    <comment ref="C23" authorId="2">
      <text>
        <t>Not Use actually</t>
      </text>
    </comment>
    <comment ref="C24" authorId="2">
      <text>
        <t>Orange SID Classification of the dataset.
If you don't know witch SID choose, please contact Data Management Team</t>
      </text>
    </comment>
    <comment ref="C25" authorId="2">
      <text>
        <t>ingestion Mode.
If you don't know witch value choose, please contact DSIEP team.</t>
      </text>
    </comment>
    <comment ref="C45" authorId="2">
      <text>
        <t>FAST-592 : For, the mioment, this mod is apply only with "http" connector.</t>
      </text>
    </comment>
    <comment ref="C48" authorId="3">
      <text>
        <t xml:space="preserve"><![CDATA[Use to calculate fresh_ts value, corresponding to the date in the filename
On ingestion used for FLOW and MultipleSFTP
It can be a regular expression.
you can use some tags:
<DATASETNAME>
<YYYY>
<MM>
<DD>
<HH>
<MI>
<SS>
]]></t>
      </text>
    </comment>
    <comment ref="C49" authorId="3">
      <text>
        <t xml:space="preserve">Only used for HTTP, SFTP and MultipleSFTP
It can be a regular expression.
You can use some tags:
&lt;YYYY&gt; 
&lt;MM&gt; 
&lt;DD&gt; 
For MultipleSFTP, you can also use:
&lt;hh&gt; 
&lt;mm&gt; </t>
      </text>
    </comment>
    <comment ref="C50" authorId="2">
      <text>
        <t xml:space="preserve">For multiple FTP if empty, permanetly listen SFTP directory.
If not  use CRON  to listen SFTP directory.
CRON syntax
mm hh jj MMM JJJ tâche
    mm représente les minutes (de 0 à 59)
    hh représente l'heure (de 0 à 23)
    jj représente le numéro du jour du mois (de 1 à 31)
    MMM représente l'abréviation du nom du mois (jan, feb, ...) ou bien le numéro du mois (de 1 à 12)
    JJJ représente l'abréviation du nom du jour ou bien le numéro du jour dans la semaine :
        SUN = SUNDAY
        MON = MONDAY
        …
        SAT = SATURDAY
  /!\  Si "jj" est valorisé alors "JJJ" doit être égal à "?"
         Si "JJJ" est valorisé alors "jj" doit être égal à "?"
Pour chaque valeur numérique (mm, hh, jj, MMM, JJJ) les notations possibles sont :
    * : à chaque unité (0, 1, 2, 3, 4…)
    5,8 : les unités 5 et 8
    2-5 : les unités de 2 à 5 (2, 3, 4, 5)
    */3 : toutes les 3 unités (0, 3, 6, 9…)
    10-20/3 : toutes les 3 unités, entre la dixième et la vingtième (10, 13, 16, 19)
</t>
      </text>
    </comment>
    <comment ref="C51" authorId="2">
      <text>
        <t>Actuellement seule la partition par jour est utilisable, si besoin de plus ou moins de granularité, il faut loguer une US</t>
      </text>
    </comment>
    <comment ref="C56" authorId="2">
      <text>
        <t>If you need another Encodage format, please contact US</t>
      </text>
    </comment>
    <comment ref="C57" authorId="2">
      <text>
        <t>sep (default ,): sets a single character as a separator for each field and value.</t>
      </text>
    </comment>
    <comment ref="C58" authorId="2">
      <text>
        <t>escape (default \): sets a single character used for escaping quotes inside an already quoted value.</t>
      </text>
    </comment>
    <comment ref="C59" authorId="2">
      <text>
        <t>nanValue (default NaN): sets the string representation of a non-number" value</t>
      </text>
    </comment>
    <comment ref="C60" authorId="2">
      <text>
        <t>comment (default empty string): sets a single character used for skipping lines beginning with this character. By default, it is disabled.</t>
      </text>
    </comment>
    <comment ref="C61" authorId="2">
      <text>
        <t>multiLine (default false): parse one record, which may span multiple lines.</t>
      </text>
    </comment>
    <comment ref="C62" authorId="2">
      <text>
        <t>quote (default "): sets a single character used for escaping quoted values where the separator can be part of the value. If you would like to turn off quotations, you need to set not null but an empty string. This behaviour is different from com.databricks.spark.csv.</t>
      </text>
    </comment>
    <comment ref="C82" authorId="2">
      <text>
        <t>1   : For remove the first line 
2   : For remove the 2 first lines
. . . 
n   : For remove the n first lines</t>
      </text>
    </comment>
    <comment ref="C83" authorId="2">
      <text>
        <t>1   : For remove the last line 
2   : For remove the 2 last lines
. . . 
n   : For remove the n last lines</t>
      </text>
    </comment>
    <comment ref="C88" authorId="2">
      <text>
        <t>FAST-387
Only usable for FLOW/SFTP ingestion :
       For an automatic execution of the data preparation when a new file is received.
(The Cleaning Periodicity will be before the hour of ingestion for example 1 0 ? * * )</t>
      </text>
    </comment>
    <comment ref="C89" authorId="2">
      <text>
        <t>mm hh jj MMM JJJ tâche
    mm représente les minutes (de 0 à 59)
    hh représente l'heure (de 0 à 23)
    jj représente le numéro du jour du mois (de 1 à 31)
    MMM représente l'abréviation du nom du mois (jan, feb, ...) ou bien le numéro du mois (de 1 à 12)
    JJJ représente l'abréviation du nom du jour ou bien le numéro du jour dans la semaine :
        SUN = SUNDAY
        MON = MONDAY
        …
        SAT = SATURDAY
  /!\  Si "jj" est valorisé alors "JJJ" doit être égal à "?"
         Si "JJJ" est valorisé alors "jj" doit être égal à "?"
Pour chaque valeur numérique (mm, hh, jj, MMM, JJJ) les notations possibles sont :
    * : à chaque unité (0, 1, 2, 3, 4…)
    5,8 : les unités 5 et 8
    2-5 : les unités de 2 à 5 (2, 3, 4, 5)
    */3 : toutes les 3 unités (0, 3, 6, 9…)
    10-20/3 : toutes les 3 unités, entre la dixième et la vingtième (10, 13, 16, 19)</t>
      </text>
    </comment>
    <comment ref="C90" authorId="2">
      <text>
        <t>Actuellement seule la partition par jour est utilisable, si besoin de plus ou moins de granularité, il faut loguer une US</t>
      </text>
    </comment>
    <comment ref="C91" authorId="2">
      <text>
        <t>By default "current(0)" for preparation of the data with same date of current date.
If you need to process the data of yesterday in the actual partition, so use "current(-1)".</t>
      </text>
    </comment>
    <comment ref="C92" authorId="2">
      <text>
        <t>To be used if need to prepared a dataSet with another name.
For exemple :
        You ingest FILE.TXT on data_lake.
        You create the datasets FILE_ALL and FILE _ANONIMYZED
         So you must do ingestion and a preparationn in a first sheet 
         and in second sheet you can do another preparation using this value for the DATASET presents in the Data_Lake</t>
      </text>
    </comment>
    <comment ref="C93" authorId="2">
      <text>
        <t xml:space="preserve">If you want shift functionnal date :
0     : (default) FunctionalData is the same than Execution date
-1    : the data of yesterday prepared in the partition of yesterday 
 </t>
      </text>
    </comment>
    <comment ref="C100" authorId="2">
      <text>
        <t>multiLine (default false): parse one record, which may span multiple lines.</t>
      </text>
    </comment>
    <comment ref="D68" authorId="2">
      <text>
        <t>To manage the language specifity (date format, number format, etc;)
https://www.oracle.com/technetwork/java/javase/java8locales-2095355.html
https://jira.si.fr.intraorange/browse/FAST-386</t>
      </text>
    </comment>
    <comment ref="F15" authorId="2">
      <text>
        <t>To activate automatic purge :
      -  N for the number of retention days ;
      -  "-1" to deactivate purge
      -  "DEFAULT" to inherite of the default delay of retention.
CAUTION  : the value 0 (zero) means daily deletion of files.</t>
      </text>
    </comment>
    <comment ref="F16" authorId="2">
      <text>
        <t>To activate automatic purge :
      -  N for the number of retention days ;
      -  "-1" to deactivate purge
      -  "DEFAULT" to inherite of the default delay of retention.
CAUTION  : the value 0 (zero) means daily deletion of files.</t>
      </text>
    </comment>
    <comment ref="F17" authorId="2">
      <text>
        <t>Calculated field</t>
      </text>
    </comment>
    <comment ref="F18" authorId="2">
      <text>
        <t>Calculated field</t>
      </text>
    </comment>
    <comment ref="F19" authorId="2">
      <text>
        <t>Calculated field</t>
      </text>
    </comment>
    <comment ref="F50" authorId="2">
      <text>
        <t>To put file in the partition corresponding of the LastModificationTime instead of the date of the Filename.</t>
      </text>
    </comment>
    <comment ref="F61" authorId="2">
      <text>
        <t>Field for define a timeout of the JDBC request. 
Value in seconds</t>
      </text>
    </comment>
    <comment ref="F68" authorId="2">
      <text>
        <t>For this field, you can specify various values by environnement using tags  INT:  UAT: PROD:</t>
      </text>
    </comment>
    <comment ref="F69" authorId="2">
      <text>
        <t>For this field, you can specify various values by environnement using tags  INT:  UAT: PROD:</t>
      </text>
    </comment>
    <comment ref="F70" authorId="2">
      <text>
        <t>Sizing : S if &lt; 500, M if &lt; 2000, L other
For this field, you can specify various values by environnement using tags  INT:  UAT: PROD:</t>
      </text>
    </comment>
    <comment ref="F71" authorId="2">
      <text>
        <t>For this field, you can specify various values by environnement using tags  INT:  UAT: PROD:
None : the process does not count header in the total lines and don't take the header.
Inject: the process inject the header with the first line then don't count in the total.
One: the process counts only one line even if the header is several lines long
All: the process counts all lines in the total lines</t>
      </text>
    </comment>
    <comment ref="G82" authorId="2">
      <text>
        <t xml:space="preserve">Definition of spark driver / spark Executor configuration
https://confluence.si.fr.intraorange/display/ETCP/3.ENRICHER+Excel+definition </t>
      </text>
    </comment>
    <comment ref="G83" authorId="2">
      <text>
        <t>Specific spark configuration if CUSTOM is selected in "Spark Size" list</t>
      </text>
    </comment>
    <comment ref="G86" authorId="2">
      <text>
        <t>Specific spark configuration if CUSTOM is selected in "Spark Size" list</t>
      </text>
    </comment>
    <comment ref="G93" authorId="2">
      <text>
        <t>Ce champs indique si les Metadata DSIE doivent être placées en début de Dataset ou en fin.
Pour un nouveau DataSet il faut le placer en Début (True).
Si le DataSet est existant, il faut le laisser en Fin en attendant sa migration.
Pour toute question : demander à Pierrick ou Antoine</t>
      </text>
    </comment>
    <comment ref="I14" authorId="2">
      <text>
        <t>Example of Prepared DataSet Extract.
Will be used for give example on EDH Catalog</t>
      </text>
    </comment>
    <comment ref="J46" authorId="1">
      <text>
        <t>For rename '&lt;DATASETNAME&gt;" received by FLOW
       :   Use  foloowing format   :  
inputDataSet1}={outDataSet1},{inputDataSet2}={outDataSet2}</t>
      </text>
    </comment>
    <comment ref="J53" authorId="2">
      <text>
        <t>list sperated by comma</t>
      </text>
    </comment>
    <comment ref="J56" authorId="1">
      <text>
        <t xml:space="preserve">For rename '&lt;DATASETNAME&gt;" received by FLOW
       :   Use  foloowing format   :  
inputDataSet1}={outDataSet1},{inputDataSet2}={outDataSet2}
</t>
      </text>
    </comment>
    <comment ref="J58" authorId="2">
      <text>
        <t>Sizing : S if &lt; 500, M if &lt; 2000, L other
For this field, you can specify various values by environnement using tags  INT:  UAT: PROD:</t>
      </text>
    </comment>
    <comment ref="J60" authorId="2">
      <text>
        <t>For this field, you can specify various values by environnement using tags  INT:  UAT: PROD:</t>
      </text>
    </comment>
    <comment ref="M45" authorId="2">
      <text>
        <t>For this field, you can specify various values by environnement using tags  INT:  UAT: PROD:</t>
      </text>
    </comment>
    <comment ref="M47" authorId="2">
      <text>
        <t>For this field, you can specify various values by environnement using tags  INT:  UAT: PROD:</t>
      </text>
    </comment>
    <comment ref="M48" authorId="2">
      <text>
        <t>For this field, you can specify various values by environnement using tags  INT:  UAT: PROD:</t>
      </text>
    </comment>
    <comment ref="M49" authorId="2">
      <text>
        <t>For this field, you can specify various values by environnement using tags  INT:  UAT: PROD:</t>
      </text>
    </comment>
    <comment ref="M50" authorId="2">
      <text>
        <t>For this field, you can specify various values by environnement using tags  INT:  UAT: PROD:</t>
      </text>
    </comment>
    <comment ref="M51" authorId="2">
      <text>
        <t>For this field, you can specify various values by environnement using tags  INT:  UAT: PROD:</t>
      </text>
    </comment>
    <comment ref="M52" authorId="2">
      <text>
        <t>For this field, you can specify various values by environnement using tags  INT:  UAT: PROD:</t>
      </text>
    </comment>
    <comment ref="M53" authorId="2">
      <text>
        <t>For this field, you can specify various values by environnement using tags  INT:  UAT: PROD:</t>
      </text>
    </comment>
    <comment ref="M55" authorId="4">
      <text>
        <t xml:space="preserve">Provide either the account JSON filename here, or directly the JSON content in the cell below
</t>
      </text>
    </comment>
    <comment ref="M56" authorId="4">
      <text>
        <t>Provide either the account JSON here, or the JSON filename in the cell above</t>
      </text>
    </comment>
    <comment ref="N117" authorId="2">
      <text>
        <t>Si le Champs n'est pas renseigne, la valeur sera celle de l'Input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<sst xmlns="http://schemas.openxmlformats.org/spreadsheetml/2006/main" count="4089" uniqueCount="1409">
  <si>
    <t>Version</t>
  </si>
  <si>
    <t>Date</t>
  </si>
  <si>
    <t>Validation</t>
  </si>
  <si>
    <t>Usage</t>
  </si>
  <si>
    <t>Auteur / Author</t>
  </si>
  <si>
    <t>Reference</t>
  </si>
  <si>
    <t>Motif / Reasons</t>
  </si>
  <si>
    <t>URL</t>
  </si>
  <si>
    <t>Content</t>
  </si>
  <si>
    <t>Comment</t>
  </si>
  <si>
    <t>Document identification</t>
  </si>
  <si>
    <t>Titre, date,reference, version</t>
  </si>
  <si>
    <t>Cover Page</t>
  </si>
  <si>
    <t>Document</t>
  </si>
  <si>
    <t>Input data category</t>
  </si>
  <si>
    <t>Input data sub-category</t>
  </si>
  <si>
    <t>Technical input data name</t>
  </si>
  <si>
    <t>N</t>
  </si>
  <si>
    <t>Document caracteristics</t>
  </si>
  <si>
    <t>Creation Date</t>
  </si>
  <si>
    <t>Status</t>
  </si>
  <si>
    <t>Author</t>
  </si>
  <si>
    <t>Project</t>
  </si>
  <si>
    <t>Distribution</t>
  </si>
  <si>
    <t>Company</t>
  </si>
  <si>
    <t xml:space="preserve"> Name</t>
  </si>
  <si>
    <t>For</t>
  </si>
  <si>
    <t>Information</t>
  </si>
  <si>
    <t>Field name</t>
  </si>
  <si>
    <t>Field format</t>
  </si>
  <si>
    <t>PK/FK</t>
  </si>
  <si>
    <t>Source format</t>
  </si>
  <si>
    <t>File Description</t>
  </si>
  <si>
    <t>File retention on source host</t>
  </si>
  <si>
    <t>Text delimiter</t>
  </si>
  <si>
    <t>Encode</t>
  </si>
  <si>
    <t>Column header</t>
  </si>
  <si>
    <t>Decimal separator</t>
  </si>
  <si>
    <t>Empty field management</t>
  </si>
  <si>
    <t>NOT NULL (X)</t>
  </si>
  <si>
    <t>Thousand separator</t>
  </si>
  <si>
    <t>Date format [With or Without TIMEZONE]</t>
  </si>
  <si>
    <t>Amit Lopes</t>
  </si>
  <si>
    <t>Action</t>
  </si>
  <si>
    <t>Draft</t>
  </si>
  <si>
    <t>V0.1</t>
  </si>
  <si>
    <t>Initialization</t>
  </si>
  <si>
    <t>DATALAKE</t>
  </si>
  <si>
    <t>UTF8</t>
  </si>
  <si>
    <t>06/16/2017</t>
  </si>
  <si>
    <t>Address</t>
  </si>
  <si>
    <t>Certificat</t>
  </si>
  <si>
    <t>User</t>
  </si>
  <si>
    <t>Password</t>
  </si>
  <si>
    <t>Http</t>
  </si>
  <si>
    <t>Jdbc</t>
  </si>
  <si>
    <t>Request</t>
  </si>
  <si>
    <t>Flow</t>
  </si>
  <si>
    <t>Application List 
(comma separator)</t>
  </si>
  <si>
    <t>Options (key=value)
(comma separator)</t>
  </si>
  <si>
    <t>Index</t>
  </si>
  <si>
    <t>Index of the tabs in this document</t>
  </si>
  <si>
    <t>Template</t>
  </si>
  <si>
    <t>TAG   =&gt;   PII</t>
  </si>
  <si>
    <t>TAG   =&gt;   Sensitive</t>
  </si>
  <si>
    <t>PII</t>
  </si>
  <si>
    <t xml:space="preserve">Sensitive </t>
  </si>
  <si>
    <t>Minimum Data Quality Level</t>
  </si>
  <si>
    <t>Security</t>
  </si>
  <si>
    <t>Columns Description</t>
  </si>
  <si>
    <t>DataSet Description</t>
  </si>
  <si>
    <t>DataSource Name</t>
  </si>
  <si>
    <t>Package Name</t>
  </si>
  <si>
    <t>Detail Field format</t>
  </si>
  <si>
    <t>Column Source Description</t>
  </si>
  <si>
    <t>Column Target Description</t>
  </si>
  <si>
    <t>DataSet Name</t>
  </si>
  <si>
    <t>Common</t>
  </si>
  <si>
    <t>Enterprise Content Management</t>
  </si>
  <si>
    <t>Interface Management</t>
  </si>
  <si>
    <t>Master Data Management</t>
  </si>
  <si>
    <t>Project Management</t>
  </si>
  <si>
    <t>Roles and Rights Management</t>
  </si>
  <si>
    <t>Connectivity</t>
  </si>
  <si>
    <t>Resource Allocation for Services</t>
  </si>
  <si>
    <t>Device</t>
  </si>
  <si>
    <t>Device Communication</t>
  </si>
  <si>
    <t>Device Profile</t>
  </si>
  <si>
    <t>Geographical Information Management</t>
  </si>
  <si>
    <t>Enterprise Management</t>
  </si>
  <si>
    <t>Accounting Management</t>
  </si>
  <si>
    <t>Asset Management</t>
  </si>
  <si>
    <t>Enterprise Effectiveness Management</t>
  </si>
  <si>
    <t>Financial Management</t>
  </si>
  <si>
    <t>Fraud Management</t>
  </si>
  <si>
    <t>HR Front-Office</t>
  </si>
  <si>
    <t>HR Management</t>
  </si>
  <si>
    <t>HR Mgt</t>
  </si>
  <si>
    <t>Human Resource Management</t>
  </si>
  <si>
    <t>Resource Development, Management and Operations</t>
  </si>
  <si>
    <t>Revenue Assurance Management</t>
  </si>
  <si>
    <t>Strategic and Enterprise Planning</t>
  </si>
  <si>
    <t>Supplier / Partner Contract Management</t>
  </si>
  <si>
    <t>tbd</t>
  </si>
  <si>
    <t>Finance</t>
  </si>
  <si>
    <t>Forecast for equant international</t>
  </si>
  <si>
    <t>Payroll</t>
  </si>
  <si>
    <t>Infrastructure</t>
  </si>
  <si>
    <t>Infrastructure Sub-domain</t>
  </si>
  <si>
    <t>Market and Customer Relationship Management</t>
  </si>
  <si>
    <t>CRM Operational Analysis and Campaign Management</t>
  </si>
  <si>
    <t>CRM Support and Readiness</t>
  </si>
  <si>
    <t>Customer Financial Management</t>
  </si>
  <si>
    <t>Customer Interface Management</t>
  </si>
  <si>
    <t>Customer Loyalty and Retention</t>
  </si>
  <si>
    <t>Customer Order Management</t>
  </si>
  <si>
    <t>Customer Relationship Management</t>
  </si>
  <si>
    <t>Customer Support Management</t>
  </si>
  <si>
    <t>Invoice Management</t>
  </si>
  <si>
    <t>Marketing and Customer Strategic Analysis</t>
  </si>
  <si>
    <t>Marketing and Customer Strategy and Development</t>
  </si>
  <si>
    <t>Offer and Product Repository Management</t>
  </si>
  <si>
    <t>Presales</t>
  </si>
  <si>
    <t>Processus de blocage des dossiers de facturation</t>
  </si>
  <si>
    <t>Service Order Management</t>
  </si>
  <si>
    <t>To be defined</t>
  </si>
  <si>
    <t>Near-Network</t>
  </si>
  <si>
    <t>Attachment Assignment</t>
  </si>
  <si>
    <t>Offer and Product Development, Mgt and Operations</t>
  </si>
  <si>
    <t>Offer and Product Operational Analysis</t>
  </si>
  <si>
    <t>Offer and Product Strategy and Development</t>
  </si>
  <si>
    <t>Offer and Product Support and Readiness</t>
  </si>
  <si>
    <t>Product Problem Management</t>
  </si>
  <si>
    <t>QoS Management</t>
  </si>
  <si>
    <t>Rating and Follow up</t>
  </si>
  <si>
    <t>Sales</t>
  </si>
  <si>
    <t>Resource Assurance Mediation</t>
  </si>
  <si>
    <t>Resource Operational Analysis</t>
  </si>
  <si>
    <t>Resource Order Management</t>
  </si>
  <si>
    <t>Resource Problem Management</t>
  </si>
  <si>
    <t>Resource Repository Management</t>
  </si>
  <si>
    <t>Resource Support and Readiness</t>
  </si>
  <si>
    <t>Service Repository Management</t>
  </si>
  <si>
    <t>Supply Chain Assurance</t>
  </si>
  <si>
    <t>Supply Chain Fulfillment</t>
  </si>
  <si>
    <t>Service</t>
  </si>
  <si>
    <t>Asynchronous Communication</t>
  </si>
  <si>
    <t>Personal and Community Information</t>
  </si>
  <si>
    <t>Personal Content</t>
  </si>
  <si>
    <t>Synchronous Communication</t>
  </si>
  <si>
    <t>Transaction</t>
  </si>
  <si>
    <t>Service Control</t>
  </si>
  <si>
    <t>Service Access</t>
  </si>
  <si>
    <t>Service Core</t>
  </si>
  <si>
    <t>Service Development, Management and Operations</t>
  </si>
  <si>
    <t>Charging Management</t>
  </si>
  <si>
    <t>Service Operational Analysis</t>
  </si>
  <si>
    <t>Service Problem Management</t>
  </si>
  <si>
    <t>Service Quality and Performance Management</t>
  </si>
  <si>
    <t>Service Strategy and Development</t>
  </si>
  <si>
    <t>Service Support and Readiness</t>
  </si>
  <si>
    <t>Service Enabling</t>
  </si>
  <si>
    <t>Messaging</t>
  </si>
  <si>
    <t>Multimedia Content</t>
  </si>
  <si>
    <t>Security and Rights</t>
  </si>
  <si>
    <t>User Characteristics</t>
  </si>
  <si>
    <t>Service Gateway</t>
  </si>
  <si>
    <t>IS Interactions and Service Management</t>
  </si>
  <si>
    <t>Non-personal Content</t>
  </si>
  <si>
    <t>Service Depiction</t>
  </si>
  <si>
    <t>Supplier/Partner Development and Relationship Mgt</t>
  </si>
  <si>
    <t>Supplier / Partner Development Management</t>
  </si>
  <si>
    <t>Supplier / Partner Invoice Management</t>
  </si>
  <si>
    <t>Supplier / Partner Rating</t>
  </si>
  <si>
    <t>User Identity</t>
  </si>
  <si>
    <t>Enterprise_Management</t>
  </si>
  <si>
    <t>Market_and_Customer_Relationship_Management</t>
  </si>
  <si>
    <t>Service_Control</t>
  </si>
  <si>
    <t>Service_Core</t>
  </si>
  <si>
    <t>Service_Enabling</t>
  </si>
  <si>
    <t>Service_Gateway</t>
  </si>
  <si>
    <t>Near_Network</t>
  </si>
  <si>
    <t>Resource_Development_Management_and_Operations</t>
  </si>
  <si>
    <t>Supplier_Partner_Development_and_Relationship_Mgt</t>
  </si>
  <si>
    <t>source category</t>
  </si>
  <si>
    <t>source data category</t>
  </si>
  <si>
    <t>source data sub-category</t>
  </si>
  <si>
    <t>Service_Development_Management_and_Operations</t>
  </si>
  <si>
    <t>Offer_and_Product_Development_Mgt_and_Operations</t>
  </si>
  <si>
    <t>Referentials</t>
  </si>
  <si>
    <t>Business repositories</t>
  </si>
  <si>
    <t>Business orchestration</t>
  </si>
  <si>
    <t>Service platforms</t>
  </si>
  <si>
    <t>Data repositories</t>
  </si>
  <si>
    <t>EDH_CI</t>
  </si>
  <si>
    <t>XML unserialization leaf</t>
  </si>
  <si>
    <t>Not Specified</t>
  </si>
  <si>
    <t>Not_Specified</t>
  </si>
  <si>
    <t>Base Path</t>
  </si>
  <si>
    <t>Port</t>
  </si>
  <si>
    <t>Listener http</t>
  </si>
  <si>
    <t>SSL</t>
  </si>
  <si>
    <t>year=yyyy/month=mm/day=dd</t>
  </si>
  <si>
    <t>year=yyyy/month=mm/day=dd/hour=hh</t>
  </si>
  <si>
    <t>Partitionnement</t>
  </si>
  <si>
    <t>year=yyyy/month=mm/day=dd/hour=hh/minute=&lt;00, 30&gt;</t>
  </si>
  <si>
    <t>year=yyyy/month=mm/day=dd/hour=hh/minute=&lt;00, 15, 30, 45&gt;</t>
  </si>
  <si>
    <t>Cleaning Periodicity</t>
  </si>
  <si>
    <t>Format File</t>
  </si>
  <si>
    <t>Canonical Name for java.nio API</t>
  </si>
  <si>
    <t>Canonical Name for java.io API and java.lang API</t>
  </si>
  <si>
    <t>Alias or Aliases</t>
  </si>
  <si>
    <t>Description</t>
  </si>
  <si>
    <t>CESU-8</t>
  </si>
  <si>
    <t>CESU8</t>
  </si>
  <si>
    <t>CESU8 csCESU-8</t>
  </si>
  <si>
    <t>Unicode CESU-8</t>
  </si>
  <si>
    <t>IBM00858</t>
  </si>
  <si>
    <t>Cp858</t>
  </si>
  <si>
    <t>cp858 858 PC-Multilingual-850+euro cp00858 ccsid00858</t>
  </si>
  <si>
    <t>Variant of Cp850 with Euro character</t>
  </si>
  <si>
    <t>IBM437</t>
  </si>
  <si>
    <t>Cp437</t>
  </si>
  <si>
    <t>ibm437 437 ibm-437 cspc8codepage437 cp437 windows-437</t>
  </si>
  <si>
    <t>MS-DOS United States, Australia, New Zealand, South Africa</t>
  </si>
  <si>
    <t>IBM775</t>
  </si>
  <si>
    <t>Cp775</t>
  </si>
  <si>
    <t>ibm-775 ibm775 775 cp775</t>
  </si>
  <si>
    <t>PC Baltic</t>
  </si>
  <si>
    <t>IBM850</t>
  </si>
  <si>
    <t>Cp850</t>
  </si>
  <si>
    <t>cp850 cspc850multilingual ibm850 850 ibm-850</t>
  </si>
  <si>
    <t>MS-DOS Latin-1</t>
  </si>
  <si>
    <t>IBM852</t>
  </si>
  <si>
    <t>Cp852</t>
  </si>
  <si>
    <t>csPCp852 ibm-852 ibm852 852 cp852</t>
  </si>
  <si>
    <t>MS-DOS Latin-2</t>
  </si>
  <si>
    <t>IBM855</t>
  </si>
  <si>
    <t>Cp855</t>
  </si>
  <si>
    <t>ibm855 855 ibm-855 cp855 cspcp855</t>
  </si>
  <si>
    <t>IBM Cyrillic</t>
  </si>
  <si>
    <t>IBM857</t>
  </si>
  <si>
    <t>Cp857</t>
  </si>
  <si>
    <t>ibm857 857 cp857 csIBM857 ibm-857</t>
  </si>
  <si>
    <t>IBM Turkish</t>
  </si>
  <si>
    <t>IBM862</t>
  </si>
  <si>
    <t>Cp862</t>
  </si>
  <si>
    <t>csIBM862 cp862 ibm862 862 cspc862latinhebrew ibm-862</t>
  </si>
  <si>
    <t>PC Hebrew</t>
  </si>
  <si>
    <t>IBM866</t>
  </si>
  <si>
    <t>Cp866</t>
  </si>
  <si>
    <t>ibm866 866 ibm-866 csIBM866 cp866</t>
  </si>
  <si>
    <t>MS-DOS Russian</t>
  </si>
  <si>
    <t>ISO-8859-1</t>
  </si>
  <si>
    <t>ISO8859_1</t>
  </si>
  <si>
    <t>819 ISO8859-1 l1 ISO_8859-1:1987 ISO_8859-1 8859_1 iso-ir-100 latin1 cp819 ISO8859_1 IBM819 ISO_8859_1 IBM-819 csISOLatin1</t>
  </si>
  <si>
    <t>ISO-8859-1, Latin Alphabet No. 1</t>
  </si>
  <si>
    <t>ISO-8859-2</t>
  </si>
  <si>
    <t>ISO8859_2</t>
  </si>
  <si>
    <t>ISO8859-2 ibm912 l2 ISO_8859-2 8859_2 cp912 ISO_8859-2:1987 iso8859_2 iso-ir-101 latin2 912 csISOLatin2 ibm-912</t>
  </si>
  <si>
    <t>Latin Alphabet No. 2</t>
  </si>
  <si>
    <t>ISO-8859-4</t>
  </si>
  <si>
    <t>ISO8859_4</t>
  </si>
  <si>
    <t>8859_4 latin4 l4 cp914 ISO_8859-4:1988 ibm914 ISO_8859-4 iso-ir-110 iso8859_4 csISOLatin4 iso8859-4 914 ibm-914</t>
  </si>
  <si>
    <t>Latin Alphabet No. 4</t>
  </si>
  <si>
    <t>ISO-8859-5</t>
  </si>
  <si>
    <t>ISO8859_5</t>
  </si>
  <si>
    <t>ISO_8859-5:1988 csISOLatinCyrillic iso-ir-144 iso8859_5 cp915 8859_5 ibm-915 ISO_8859-5 ibm915 915 cyrillic ISO8859-5</t>
  </si>
  <si>
    <t>Latin/Cyrillic Alphabet</t>
  </si>
  <si>
    <t>ISO-8859-7</t>
  </si>
  <si>
    <t>ISO8859_7</t>
  </si>
  <si>
    <t>greek 8859_7 greek8 ibm813 ISO_8859-7 iso8859_7 ELOT_928 cp813 ISO_8859-7:1987 sun_eu_greek csISOLatinGreek iso-ir-126 813 iso8859-7 ECMA-118 ibm-813</t>
  </si>
  <si>
    <t>Latin/Greek Alphabet (ISO-8859-7:2003)</t>
  </si>
  <si>
    <t>ISO-8859-9</t>
  </si>
  <si>
    <t>ISO8859_9</t>
  </si>
  <si>
    <t>ibm-920 ISO_8859-9 8859_9 ISO_8859-9:1989 ibm920 latin5 l5 iso8859_9 cp920 920 iso-ir-148 ISO8859-9 csISOLatin5</t>
  </si>
  <si>
    <t>Latin Alphabet No. 5</t>
  </si>
  <si>
    <t>ISO-8859-13</t>
  </si>
  <si>
    <t>ISO8859_13</t>
  </si>
  <si>
    <t>iso_8859-13 ISO8859-13 iso8859_13 8859_13</t>
  </si>
  <si>
    <t>Latin Alphabet No. 7</t>
  </si>
  <si>
    <t>ISO-8859-15</t>
  </si>
  <si>
    <t>ISO8859_15</t>
  </si>
  <si>
    <t>ISO8859-15 LATIN0 ISO8859_15_FDIS ISO8859_15 cp923 8859_15 L9 ISO-8859-15 IBM923 csISOlatin9 ISO_8859-15 IBM-923 csISOlatin0 923 LATIN9</t>
  </si>
  <si>
    <t>Latin Alphabet No. 9</t>
  </si>
  <si>
    <t>KOI8-R</t>
  </si>
  <si>
    <t>KOI8_R</t>
  </si>
  <si>
    <t>koi8_r koi8 cskoi8r</t>
  </si>
  <si>
    <t>KOI8-R, Russian</t>
  </si>
  <si>
    <t>KOI8-U</t>
  </si>
  <si>
    <t>KOI8_U</t>
  </si>
  <si>
    <t>koi8_u</t>
  </si>
  <si>
    <t>KOI8-U, Ukrainian</t>
  </si>
  <si>
    <t>US-ASCII</t>
  </si>
  <si>
    <t>ASCII</t>
  </si>
  <si>
    <t>ANSI_X3.4-1968 cp367 csASCII iso-ir-6 ASCII iso_646.irv:1983 ANSI_X3.4-1986 ascii7 default ISO_646.irv:1991 ISO646-US IBM367 646 us</t>
  </si>
  <si>
    <t>American Standard Code for Information Interchange</t>
  </si>
  <si>
    <t>UTF-8</t>
  </si>
  <si>
    <t>unicode-1-1-utf-8 UTF8</t>
  </si>
  <si>
    <t>Eight-bit Unicode (or UCS) Transformation Format</t>
  </si>
  <si>
    <t>UTF-16</t>
  </si>
  <si>
    <t>UTF_16 unicode utf16 UnicodeBig</t>
  </si>
  <si>
    <t>Sixteen-bit Unicode (or UCS) Transformation Format, byte order identified by an optional byte-order mark</t>
  </si>
  <si>
    <t>UTF-16BE</t>
  </si>
  <si>
    <t>UnicodeBigUnmarked</t>
  </si>
  <si>
    <t>X-UTF-16BE UTF_16BE ISO-10646-UCS-2 UnicodeBigUnmarked</t>
  </si>
  <si>
    <t>Sixteen-bit Unicode (or UCS) Transformation Format, big-endian byte order</t>
  </si>
  <si>
    <t>UTF-16LE</t>
  </si>
  <si>
    <t>UnicodeLittleUnmarked</t>
  </si>
  <si>
    <t>UnicodeLittleUnmarked UTF_16LE X-UTF-16LE</t>
  </si>
  <si>
    <t>Sixteen-bit Unicode (or UCS) Transformation Format, little-endian byte order</t>
  </si>
  <si>
    <t>UTF-32</t>
  </si>
  <si>
    <t>UTF_32</t>
  </si>
  <si>
    <t>UTF_32 UTF32</t>
  </si>
  <si>
    <t>32-bit Unicode (or UCS) Transformation Format, byte order identified by an optional byte-order mark</t>
  </si>
  <si>
    <t>UTF-32BE</t>
  </si>
  <si>
    <t>UTF_32BE</t>
  </si>
  <si>
    <t>X-UTF-32BE UTF_32BE</t>
  </si>
  <si>
    <t>32-bit Unicode (or UCS) Transformation Format, big-endian byte order</t>
  </si>
  <si>
    <t>UTF-32LE</t>
  </si>
  <si>
    <t>UTF_32LE</t>
  </si>
  <si>
    <t>X-UTF-32LE UTF_32LE</t>
  </si>
  <si>
    <t>32-bit Unicode (or UCS) Transformation Format, little-endian byte order</t>
  </si>
  <si>
    <t>x-UTF-32BE-BOM</t>
  </si>
  <si>
    <t>UTF_32BE_BOM</t>
  </si>
  <si>
    <t>UTF_32BE_BOM UTF-32BE-BOM</t>
  </si>
  <si>
    <t>32-bit Unicode (or UCS) Transformation Format, big-endian byte order, with byte-order mark</t>
  </si>
  <si>
    <t>x-UTF-32LE-BOM</t>
  </si>
  <si>
    <t>UTF_32LE_BOM</t>
  </si>
  <si>
    <t>UTF_32LE_BOM UTF-32LE-BOM</t>
  </si>
  <si>
    <t>32-bit Unicode (or UCS) Transformation Format, little-endian byte order, with byte-order mark</t>
  </si>
  <si>
    <t>windows-1250</t>
  </si>
  <si>
    <t>Cp1250</t>
  </si>
  <si>
    <t>cp1250 cp5346</t>
  </si>
  <si>
    <t>Windows Eastern European</t>
  </si>
  <si>
    <t>windows-1251</t>
  </si>
  <si>
    <t>Cp1251</t>
  </si>
  <si>
    <t>cp5347 ansi-1251 cp1251</t>
  </si>
  <si>
    <t>Windows Cyrillic</t>
  </si>
  <si>
    <t>windows-1252</t>
  </si>
  <si>
    <t>Cp1252</t>
  </si>
  <si>
    <t>cp5348 cp1252</t>
  </si>
  <si>
    <t>Windows Latin-1</t>
  </si>
  <si>
    <t>windows-1253</t>
  </si>
  <si>
    <t>Cp1253</t>
  </si>
  <si>
    <t>cp1253 cp5349</t>
  </si>
  <si>
    <t>Windows Greek</t>
  </si>
  <si>
    <t>windows-1254</t>
  </si>
  <si>
    <t>Cp1254</t>
  </si>
  <si>
    <t>cp1254 cp5350</t>
  </si>
  <si>
    <t>Windows Turkish</t>
  </si>
  <si>
    <t>windows-1257</t>
  </si>
  <si>
    <t>Cp1257</t>
  </si>
  <si>
    <t>cp1257 cp5353</t>
  </si>
  <si>
    <t>Windows Baltic</t>
  </si>
  <si>
    <t>Not available</t>
  </si>
  <si>
    <t>UnicodeBig</t>
  </si>
  <si>
    <t>Sixteen-bit Unicode (or UCS) Transformation Format, big-endian byte order, with byte-order mark</t>
  </si>
  <si>
    <t>x-IBM737</t>
  </si>
  <si>
    <t>Cp737</t>
  </si>
  <si>
    <t>cp737 ibm737 737 ibm-737</t>
  </si>
  <si>
    <t>PC Greek</t>
  </si>
  <si>
    <t>x-IBM874</t>
  </si>
  <si>
    <t>Cp874</t>
  </si>
  <si>
    <t>ibm-874 ibm874 874 cp874</t>
  </si>
  <si>
    <t>IBM Thai</t>
  </si>
  <si>
    <t>x-UTF-16LE-BOM</t>
  </si>
  <si>
    <t>UnicodeLittle</t>
  </si>
  <si>
    <t>Sixteen-bit Unicode (or UCS) Transformation Format, little-endian byte order, with byte-order mark</t>
  </si>
  <si>
    <t>Http Body Response</t>
  </si>
  <si>
    <t>Http Header Response</t>
  </si>
  <si>
    <t>Tab name</t>
  </si>
  <si>
    <t>Data Set Tab List</t>
  </si>
  <si>
    <t>INT</t>
  </si>
  <si>
    <t>Simple Ftps (via certificat)</t>
  </si>
  <si>
    <t>Multiple Ftps (via certificat)</t>
  </si>
  <si>
    <t>add Listener http</t>
  </si>
  <si>
    <t>18/06/2018</t>
  </si>
  <si>
    <t>H.Pencolé</t>
  </si>
  <si>
    <t>29/06/2018</t>
  </si>
  <si>
    <t>formatting, add Http Body Response and Http Header Response</t>
  </si>
  <si>
    <t>add Multiple FTP</t>
  </si>
  <si>
    <t>Cleaning Partitioning</t>
  </si>
  <si>
    <t>Collect Partitioning</t>
  </si>
  <si>
    <t>Collect Periodicity</t>
  </si>
  <si>
    <t>01/06/2018</t>
  </si>
  <si>
    <t>Formats File</t>
  </si>
  <si>
    <t>CSV</t>
  </si>
  <si>
    <t>TXT</t>
  </si>
  <si>
    <t>XML</t>
  </si>
  <si>
    <t>ORC</t>
  </si>
  <si>
    <t>Input FileName</t>
  </si>
  <si>
    <t>Output FileName</t>
  </si>
  <si>
    <t>Reject duplicates on PK</t>
  </si>
  <si>
    <t>A. Delcros</t>
  </si>
  <si>
    <t>A. Delcros &amp; H.Pencolé</t>
  </si>
  <si>
    <t>06/07/2018</t>
  </si>
  <si>
    <t>Orthographic correction,Multi-env,add SID, Reject Duplicate</t>
  </si>
  <si>
    <t>SID ABE</t>
  </si>
  <si>
    <t>DSIEP SID Trigram</t>
  </si>
  <si>
    <t>noSID</t>
  </si>
  <si>
    <t>Account/Receivable</t>
  </si>
  <si>
    <t>notDEF</t>
  </si>
  <si>
    <t>Agreement</t>
  </si>
  <si>
    <t>Applied Customer Billing Rate</t>
  </si>
  <si>
    <t>Base Type</t>
  </si>
  <si>
    <t>Billing Account</t>
  </si>
  <si>
    <t>Commercial Catalogue</t>
  </si>
  <si>
    <t>Commercial Installed Base</t>
  </si>
  <si>
    <t>Competitor</t>
  </si>
  <si>
    <t>Compound Resource Spec</t>
  </si>
  <si>
    <t>Consumption</t>
  </si>
  <si>
    <t>Customer</t>
  </si>
  <si>
    <t>Customer Loyalty</t>
  </si>
  <si>
    <t>Customer Order</t>
  </si>
  <si>
    <t>Customer Problem</t>
  </si>
  <si>
    <t>Customer Request</t>
  </si>
  <si>
    <t>Dunning</t>
  </si>
  <si>
    <t>Electronic Identity</t>
  </si>
  <si>
    <t>Employee Employer</t>
  </si>
  <si>
    <t>Geographic Address</t>
  </si>
  <si>
    <t>Geographic Place</t>
  </si>
  <si>
    <t>Installed Compound Resource</t>
  </si>
  <si>
    <t>Installed Logical Resource</t>
  </si>
  <si>
    <t>Installed Physical Resource</t>
  </si>
  <si>
    <t>Interaction</t>
  </si>
  <si>
    <t>Interaction Actors</t>
  </si>
  <si>
    <t>Interaction Role</t>
  </si>
  <si>
    <t>Invoice</t>
  </si>
  <si>
    <t>Local Place</t>
  </si>
  <si>
    <t>Location</t>
  </si>
  <si>
    <t>Logical Resource Spec</t>
  </si>
  <si>
    <t>Loyalty Product Catalogue</t>
  </si>
  <si>
    <t>Market Segment</t>
  </si>
  <si>
    <t>Market Strategy &amp; Plan</t>
  </si>
  <si>
    <t>Marketing Campaign</t>
  </si>
  <si>
    <t>Marketing Performance</t>
  </si>
  <si>
    <t>Metric</t>
  </si>
  <si>
    <t>Network</t>
  </si>
  <si>
    <t>Opportunity</t>
  </si>
  <si>
    <t>Party</t>
  </si>
  <si>
    <t>PAR</t>
  </si>
  <si>
    <t>Party / Contact Methods</t>
  </si>
  <si>
    <t>Party / Identification</t>
  </si>
  <si>
    <t>Party / Names</t>
  </si>
  <si>
    <t>Party / Party Profile</t>
  </si>
  <si>
    <t>Party / PartyRoleSet</t>
  </si>
  <si>
    <t>Party / Right</t>
  </si>
  <si>
    <t>Party / Role</t>
  </si>
  <si>
    <t>Party / Skill</t>
  </si>
  <si>
    <t>Payment</t>
  </si>
  <si>
    <t>Payment Means</t>
  </si>
  <si>
    <t>Payment Means Specification</t>
  </si>
  <si>
    <t>Physical Resource Spec</t>
  </si>
  <si>
    <t>Policy Action Entities</t>
  </si>
  <si>
    <t>Policy Application</t>
  </si>
  <si>
    <t>Policy Condition Entities</t>
  </si>
  <si>
    <t>Policy Event Entities</t>
  </si>
  <si>
    <t>Policy Framework</t>
  </si>
  <si>
    <t>Policy Framework Spec Entities</t>
  </si>
  <si>
    <t>Policy Server Entities</t>
  </si>
  <si>
    <t>Policy Statement Entities</t>
  </si>
  <si>
    <t>Policy Value Entities</t>
  </si>
  <si>
    <t>Policy Variable Entities</t>
  </si>
  <si>
    <t>PolicyApp Role Entities</t>
  </si>
  <si>
    <t>Pre-Sales</t>
  </si>
  <si>
    <t>Prevention</t>
  </si>
  <si>
    <t>Product Catalogue</t>
  </si>
  <si>
    <t>Product Installed Base</t>
  </si>
  <si>
    <t>Product Usage</t>
  </si>
  <si>
    <t>Resource Catalogue</t>
  </si>
  <si>
    <t>Resource Installed Base</t>
  </si>
  <si>
    <t>Resource Order</t>
  </si>
  <si>
    <t>Resource Performance</t>
  </si>
  <si>
    <t>Resource Test</t>
  </si>
  <si>
    <t>Resource Trouble</t>
  </si>
  <si>
    <t>Resource Usage</t>
  </si>
  <si>
    <t>Root Entities</t>
  </si>
  <si>
    <t>Sales Channel</t>
  </si>
  <si>
    <t>Segmentation</t>
  </si>
  <si>
    <t>Service Catalogue</t>
  </si>
  <si>
    <t>Service Customization</t>
  </si>
  <si>
    <t>Service Installed Base</t>
  </si>
  <si>
    <t>Service Order</t>
  </si>
  <si>
    <t>Service Performance</t>
  </si>
  <si>
    <t>Service Test</t>
  </si>
  <si>
    <t>Service Trouble</t>
  </si>
  <si>
    <t>Service Usage</t>
  </si>
  <si>
    <t>Supplier / Partner</t>
  </si>
  <si>
    <t>Supplier / Partner Catalogue</t>
  </si>
  <si>
    <t>Supplier / Partner Installed Base</t>
  </si>
  <si>
    <t>Tarif Catalogue</t>
  </si>
  <si>
    <t>Test</t>
  </si>
  <si>
    <t>Time</t>
  </si>
  <si>
    <t>Trouble Ticket</t>
  </si>
  <si>
    <t>USE</t>
  </si>
  <si>
    <t>SGM</t>
  </si>
  <si>
    <t>encrypted_data_lake</t>
  </si>
  <si>
    <t>technical_core</t>
  </si>
  <si>
    <t>IngestionMod</t>
  </si>
  <si>
    <t>Injestion Mode</t>
  </si>
  <si>
    <t>DSIEP Ingestion Mode Code</t>
  </si>
  <si>
    <t>L</t>
  </si>
  <si>
    <t>W</t>
  </si>
  <si>
    <t>R</t>
  </si>
  <si>
    <t>F</t>
  </si>
  <si>
    <t>H</t>
  </si>
  <si>
    <t>Temporary dataSet</t>
  </si>
  <si>
    <t>Loading dataSet</t>
  </si>
  <si>
    <t>Hive Schema</t>
  </si>
  <si>
    <t>Hive Table</t>
  </si>
  <si>
    <t>File size estimation (Mo)</t>
  </si>
  <si>
    <t>CUST</t>
  </si>
  <si>
    <t>Ajout du trigramme DSIEP</t>
  </si>
  <si>
    <t>Ajout info pour vue et shéma DSIEP</t>
  </si>
  <si>
    <t>V4.0</t>
  </si>
  <si>
    <t>V4.1</t>
  </si>
  <si>
    <t>V4.2</t>
  </si>
  <si>
    <t>V4.3</t>
  </si>
  <si>
    <t>V4.4</t>
  </si>
  <si>
    <t>V4.5</t>
  </si>
  <si>
    <t>Antoine Delcros</t>
  </si>
  <si>
    <t>CSV Not A Number Value</t>
  </si>
  <si>
    <t>CSV Comment char</t>
  </si>
  <si>
    <t>V4.6</t>
  </si>
  <si>
    <t>Conversion en V4.6</t>
  </si>
  <si>
    <t>CSV escape char</t>
  </si>
  <si>
    <t>V4.7</t>
  </si>
  <si>
    <t>Ajout Kafka2HDFS</t>
  </si>
  <si>
    <t>Ajout option FLOW multiple dataSet in archive TAR</t>
  </si>
  <si>
    <t>File Name in archive</t>
  </si>
  <si>
    <t>Anonymized By Source</t>
  </si>
  <si>
    <t>Anonymized by FAST</t>
  </si>
  <si>
    <t>JSON</t>
  </si>
  <si>
    <t>STRING-SEPARATOR</t>
  </si>
  <si>
    <t>V5.0</t>
  </si>
  <si>
    <t>Custom Connector</t>
  </si>
  <si>
    <t>ConnectorName</t>
  </si>
  <si>
    <t>v1.0</t>
  </si>
  <si>
    <t>Format Document history</t>
  </si>
  <si>
    <t>V5.1</t>
  </si>
  <si>
    <t>Ajout option Custom Connector
Ajout File Type AVRO</t>
  </si>
  <si>
    <t>AVRO</t>
  </si>
  <si>
    <t>Version CI history</t>
  </si>
  <si>
    <t>Technical Configuration</t>
  </si>
  <si>
    <t>Spark Size</t>
  </si>
  <si>
    <t>Max Wait Time</t>
  </si>
  <si>
    <t>Flow File Expiration</t>
  </si>
  <si>
    <t>XS</t>
  </si>
  <si>
    <t>S</t>
  </si>
  <si>
    <t>M</t>
  </si>
  <si>
    <t>XL</t>
  </si>
  <si>
    <t>New "Technical Configuration"
Ajout "Conf. JDBC"</t>
  </si>
  <si>
    <t>V6.0</t>
  </si>
  <si>
    <t>PreparedData Extract</t>
  </si>
  <si>
    <t>Fact dataSet</t>
  </si>
  <si>
    <t>Referential dataSet</t>
  </si>
  <si>
    <t>Historical dataSet</t>
  </si>
  <si>
    <t>A. DELCROS</t>
  </si>
  <si>
    <t>Use dataset of which period</t>
  </si>
  <si>
    <t>Initial dataset</t>
  </si>
  <si>
    <t>Date offset</t>
  </si>
  <si>
    <t>Datasetname Translation</t>
  </si>
  <si>
    <t>K36 -&gt; "FULL dataSet"=&gt; "Referential dataset" +  "Structure dataSet" =&gt; "Historical dataset"</t>
  </si>
  <si>
    <t>V6.2</t>
  </si>
  <si>
    <t>Add filed :     C20 - Use dataset of which period</t>
  </si>
  <si>
    <t>Add filed :     C21 - Initial dataset</t>
  </si>
  <si>
    <t>Add filed :     C23 - Date offset</t>
  </si>
  <si>
    <t>Add filed :     N35 - Spark Size</t>
  </si>
  <si>
    <t>Add Comments and Modifs description</t>
  </si>
  <si>
    <t>Add filed :     G17 - Kafka.Adress</t>
  </si>
  <si>
    <t>Add filed :     E31 - Datasetname Translation</t>
  </si>
  <si>
    <t>Add CustomerPerimeter in ABE SID list</t>
  </si>
  <si>
    <t>Customer Perimeter</t>
  </si>
  <si>
    <t>Preprocessing RegEx</t>
  </si>
  <si>
    <t xml:space="preserve">Replacement string </t>
  </si>
  <si>
    <t>Add Preprocessing regEx and replacement String</t>
  </si>
  <si>
    <t>V6.3</t>
  </si>
  <si>
    <t>Installed Resource</t>
  </si>
  <si>
    <t>Change comment of Ingestion CRON for multiple SFTP</t>
  </si>
  <si>
    <t>Prepared Data Retention</t>
  </si>
  <si>
    <t>Source Data Retention</t>
  </si>
  <si>
    <t>CUSTOM</t>
  </si>
  <si>
    <t>V6.4</t>
  </si>
  <si>
    <t>Add source data retention</t>
  </si>
  <si>
    <t>V6.5</t>
  </si>
  <si>
    <t>Add Footer and Header removing management</t>
  </si>
  <si>
    <t>Preprocessing</t>
  </si>
  <si>
    <t>Remove header</t>
  </si>
  <si>
    <t>Remove footer</t>
  </si>
  <si>
    <t>CSV Column separator</t>
  </si>
  <si>
    <t>Multiline</t>
  </si>
  <si>
    <t>La fonction de Check est encore expérimentale.
Elle sera enrichie au fil des demandes.</t>
  </si>
  <si>
    <t>With Metadata in begining</t>
  </si>
  <si>
    <t>V7.0</t>
  </si>
  <si>
    <t>NEW VERSION for User friendly</t>
  </si>
  <si>
    <t>V6.6</t>
  </si>
  <si>
    <t>Add filed "With Metadata in begining"</t>
  </si>
  <si>
    <t>Add Preprocessing header and footer management</t>
  </si>
  <si>
    <t>TAG   =&gt;   Reference</t>
  </si>
  <si>
    <t>?</t>
  </si>
  <si>
    <t>DataManagement : Dataset Info</t>
  </si>
  <si>
    <t>Dataset Description</t>
  </si>
  <si>
    <t>V6.7</t>
  </si>
  <si>
    <t>Add filed "use LastModifiedTime of File" for Collect</t>
  </si>
  <si>
    <t>With Compaction on preparedData</t>
  </si>
  <si>
    <t>With Compaction on rejectedData</t>
  </si>
  <si>
    <t>Interface Contract and Data Dictionary</t>
  </si>
  <si>
    <t>KMS Chiffrement</t>
  </si>
  <si>
    <t>Ingestion / sourceData Description</t>
  </si>
  <si>
    <t>Preparation / preparedData Description</t>
  </si>
  <si>
    <t>Source fields description</t>
  </si>
  <si>
    <t>Prepared fields</t>
  </si>
  <si>
    <t>Field exclued of the Preparation</t>
  </si>
  <si>
    <t>Deploiement : Activation and check</t>
  </si>
  <si>
    <t>use LastModifiedTime of File</t>
  </si>
  <si>
    <t>DSIE Table</t>
  </si>
  <si>
    <t>Ingestion type</t>
  </si>
  <si>
    <t>Active Cleaning on file Ingestion</t>
  </si>
  <si>
    <t>Spark options</t>
  </si>
  <si>
    <t>Advanced options</t>
  </si>
  <si>
    <t>Spark sizing</t>
  </si>
  <si>
    <t>Spark T-Shirt sizing</t>
  </si>
  <si>
    <t>${column.sourceDescription}</t>
  </si>
  <si>
    <t>${column.sourceFormat}</t>
  </si>
  <si>
    <t>${column.sourceFormatDetail}</t>
  </si>
  <si>
    <t>${column.sourcePrimaryKey}</t>
  </si>
  <si>
    <t>${column.sourceNotNull}</t>
  </si>
  <si>
    <t>${column.targetFieldName}</t>
  </si>
  <si>
    <t>${column.targetDescription}</t>
  </si>
  <si>
    <t>${column.targetFormat}</t>
  </si>
  <si>
    <t>${column.targetFormatDetail}</t>
  </si>
  <si>
    <t>${column.targetPrimaryKey}</t>
  </si>
  <si>
    <t>${column.PII}</t>
  </si>
  <si>
    <t>${column.sensitive}</t>
  </si>
  <si>
    <t>${column.anonymized}</t>
  </si>
  <si>
    <t>${column.pseudoAnonymized}</t>
  </si>
  <si>
    <t>$[HYPERLINK("#${sheetName}!A1","${sheetName}")]</t>
  </si>
  <si>
    <t>${column.sourceFieldName}</t>
  </si>
  <si>
    <t>${source.preparedDataExtract}</t>
  </si>
  <si>
    <t>${source.packageName}</t>
  </si>
  <si>
    <t>${source.datalakeRetention}</t>
  </si>
  <si>
    <t>${source.preparedDataRetention}</t>
  </si>
  <si>
    <t>${source.dataSetName}</t>
  </si>
  <si>
    <t>${source.anonymizedFAST}</t>
  </si>
  <si>
    <t>${source.description}</t>
  </si>
  <si>
    <t>${source.PII}</t>
  </si>
  <si>
    <t>${source.reference}</t>
  </si>
  <si>
    <t>${source.sensitive}</t>
  </si>
  <si>
    <t>${source.commentaire}</t>
  </si>
  <si>
    <t>${source.copyright}</t>
  </si>
  <si>
    <t>${source.kms}</t>
  </si>
  <si>
    <t>${source.fileRetention}</t>
  </si>
  <si>
    <t>${source.fileSize}</t>
  </si>
  <si>
    <t>${source.minimunDataQualityLevel}</t>
  </si>
  <si>
    <t>${source.sid}</t>
  </si>
  <si>
    <t>${source.multiFtpMode}</t>
  </si>
  <si>
    <t>${source.flowMode}</t>
  </si>
  <si>
    <t>${source.ftpMode}</t>
  </si>
  <si>
    <t>${source.flowApplication}</t>
  </si>
  <si>
    <t>${source.addressFtp}</t>
  </si>
  <si>
    <t>${source.flowDatasetNameTranslation}</t>
  </si>
  <si>
    <t>${source.certificatFtp}</t>
  </si>
  <si>
    <t>${source.flowFileNameInArchive}</t>
  </si>
  <si>
    <t>${source.fileName}</t>
  </si>
  <si>
    <t>${source.userFtp}</t>
  </si>
  <si>
    <t>${source.listenerHttpMode}</t>
  </si>
  <si>
    <t>${source.outputFileName}</t>
  </si>
  <si>
    <t>${source.passwordFtp}</t>
  </si>
  <si>
    <t>${source.sslListernerHttp}</t>
  </si>
  <si>
    <t>${source.collectePeriodicity}</t>
  </si>
  <si>
    <t>${source.useLastModifiedTimeOfFile}</t>
  </si>
  <si>
    <t>${source.pathListernerHttp}</t>
  </si>
  <si>
    <t>${source.collectePartitioning}</t>
  </si>
  <si>
    <t>${source.httpMode}</t>
  </si>
  <si>
    <t>${source.portListernerHttp}</t>
  </si>
  <si>
    <t>${source.addressHttp}</t>
  </si>
  <si>
    <t>${source.bodyListernerHttp}</t>
  </si>
  <si>
    <t>${source.userHttp}</t>
  </si>
  <si>
    <t>${source.headerListernerHttp}</t>
  </si>
  <si>
    <t>${source.passwordHttp}</t>
  </si>
  <si>
    <t>${source.compression}</t>
  </si>
  <si>
    <t>${source.jdbcMode}</t>
  </si>
  <si>
    <t>${source.charset}</t>
  </si>
  <si>
    <t>${source.requestJdbc}</t>
  </si>
  <si>
    <t>${source.delimiter}</t>
  </si>
  <si>
    <t>${source.escape}</t>
  </si>
  <si>
    <t>${source.nanValue}</t>
  </si>
  <si>
    <t>${source.maxWaitTime}</t>
  </si>
  <si>
    <t>${source.options}</t>
  </si>
  <si>
    <t>${source.comment}</t>
  </si>
  <si>
    <t>${source.flowFileExpiration}</t>
  </si>
  <si>
    <t>${source.multiLine}</t>
  </si>
  <si>
    <t>${source.addressJdbc}</t>
  </si>
  <si>
    <t>${source.quote}</t>
  </si>
  <si>
    <t>${source.userJdbc}</t>
  </si>
  <si>
    <t>${source.header}</t>
  </si>
  <si>
    <t>${source.passwordJdbc}</t>
  </si>
  <si>
    <t>${source.decimalSeparator}</t>
  </si>
  <si>
    <t>${source.thousandSeparator}</t>
  </si>
  <si>
    <t>${source.customConnector}</t>
  </si>
  <si>
    <t>${source.nullValue}</t>
  </si>
  <si>
    <t>${source.connectorName}</t>
  </si>
  <si>
    <t>${source.dateFormat}</t>
  </si>
  <si>
    <t>${source.preprocessing}</t>
  </si>
  <si>
    <t>${source.removeHeader}</t>
  </si>
  <si>
    <t>${source.tShirtSparkSizing}</t>
  </si>
  <si>
    <t>${source.removeFooter}</t>
  </si>
  <si>
    <t>${source.sparkSizing}</t>
  </si>
  <si>
    <t>${source.preprocessingRegex}</t>
  </si>
  <si>
    <t>${source.replacementString}</t>
  </si>
  <si>
    <t>${source.sparkOptions}</t>
  </si>
  <si>
    <t>${source.activeCleaningOnFileIngestion}</t>
  </si>
  <si>
    <t>${source.cleaningPeriodicity}</t>
  </si>
  <si>
    <t>${source.cleaningPartitioning}</t>
  </si>
  <si>
    <t>${source.periodDatasetToUse}</t>
  </si>
  <si>
    <t>${source.initialDataSet}</t>
  </si>
  <si>
    <t>${source.dateOffset}</t>
  </si>
  <si>
    <t>${source.withMetadataInBegining}</t>
  </si>
  <si>
    <t>${source.deduplicate}</t>
  </si>
  <si>
    <t>${source.compactionPreparedData}</t>
  </si>
  <si>
    <t>${source.xmlLeaf}</t>
  </si>
  <si>
    <t>${source.compactionRejectedData}</t>
  </si>
  <si>
    <t>Uncryption</t>
  </si>
  <si>
    <t>Key Derivation Function</t>
  </si>
  <si>
    <t>Encryption Algorithm</t>
  </si>
  <si>
    <t>MD5_256AES</t>
  </si>
  <si>
    <t xml:space="preserve">Raw Key (hexadecimal) </t>
  </si>
  <si>
    <t>Mod</t>
  </si>
  <si>
    <t>Uncryption : key derivation</t>
  </si>
  <si>
    <t>Uncryption : Encryption Algorithm</t>
  </si>
  <si>
    <t>Ingestion Mod</t>
  </si>
  <si>
    <t>NIFI_LEGACY</t>
  </si>
  <si>
    <t xml:space="preserve">MD5_128AES </t>
  </si>
  <si>
    <t>IGNORE</t>
  </si>
  <si>
    <t>OPENSSL_EVP_BYTES_TO_KEY</t>
  </si>
  <si>
    <t>MD5_192AES</t>
  </si>
  <si>
    <t>FAIL</t>
  </si>
  <si>
    <t>BCRYPT</t>
  </si>
  <si>
    <t>REPLACE BY FILE</t>
  </si>
  <si>
    <t>SCRYPT</t>
  </si>
  <si>
    <t>MD5_DES</t>
  </si>
  <si>
    <t>APPEND BY PARTITION</t>
  </si>
  <si>
    <t>PBKDF2</t>
  </si>
  <si>
    <t>MD5_RC2</t>
  </si>
  <si>
    <t>APPEND BY FILE</t>
  </si>
  <si>
    <t>NONE</t>
  </si>
  <si>
    <t>SHA1_RC2</t>
  </si>
  <si>
    <t>SHA1_DES</t>
  </si>
  <si>
    <t>SHA_128AES</t>
  </si>
  <si>
    <t>SHA_192AES</t>
  </si>
  <si>
    <t>SHA_256AES</t>
  </si>
  <si>
    <t>SHA_40RC2</t>
  </si>
  <si>
    <t>SHA_128RC2</t>
  </si>
  <si>
    <t>SHA_40RC4</t>
  </si>
  <si>
    <t>SHA_128RC4</t>
  </si>
  <si>
    <t>SHA256_128AES</t>
  </si>
  <si>
    <t>SHA256_192AES</t>
  </si>
  <si>
    <t>SHA256_256AES</t>
  </si>
  <si>
    <t>SHA_2KEYTRIPLEDES</t>
  </si>
  <si>
    <t>SHA_3KEYTRIPLEDES</t>
  </si>
  <si>
    <t>SHA_TWOFISH</t>
  </si>
  <si>
    <t>PGP</t>
  </si>
  <si>
    <t>PGP_ASCII_ARMOR</t>
  </si>
  <si>
    <t>AES_CBC</t>
  </si>
  <si>
    <t>AES_CTR</t>
  </si>
  <si>
    <t xml:space="preserve">AES_GCM </t>
  </si>
  <si>
    <t>${source.encrypted}</t>
  </si>
  <si>
    <t>${source.encryptionKeyDerivation}</t>
  </si>
  <si>
    <t>${source.encryptionPwd}</t>
  </si>
  <si>
    <t>Locale (Language - Country)</t>
  </si>
  <si>
    <t>Concat</t>
  </si>
  <si>
    <t>Variant</t>
  </si>
  <si>
    <t>Language Tag</t>
  </si>
  <si>
    <t>Note</t>
  </si>
  <si>
    <t>by default</t>
  </si>
  <si>
    <t>Albanian (sq)</t>
  </si>
  <si>
    <t>Albania (AL)</t>
  </si>
  <si>
    <t>(Latn)</t>
  </si>
  <si>
    <t>sq-AL</t>
  </si>
  <si>
    <t>Arabic (ar)</t>
  </si>
  <si>
    <t>Algeria (DZ)</t>
  </si>
  <si>
    <t>(Arab)</t>
  </si>
  <si>
    <t>ar-DZ</t>
  </si>
  <si>
    <t>Bahrain (BH)</t>
  </si>
  <si>
    <t>ar-BH</t>
  </si>
  <si>
    <t>Egypt (EG)</t>
  </si>
  <si>
    <t>ar-EG</t>
  </si>
  <si>
    <t>Iraq (IQ)</t>
  </si>
  <si>
    <t>ar-IQ</t>
  </si>
  <si>
    <t>Jordan (JO)</t>
  </si>
  <si>
    <t>ar-JO</t>
  </si>
  <si>
    <t>Kuwait (KW)</t>
  </si>
  <si>
    <t>ar-KW</t>
  </si>
  <si>
    <t>Lebanon (LB)</t>
  </si>
  <si>
    <t>ar-LB</t>
  </si>
  <si>
    <t>Libya (LY)</t>
  </si>
  <si>
    <t>ar-LY</t>
  </si>
  <si>
    <t>Morocco (MA)</t>
  </si>
  <si>
    <t>ar-MA</t>
  </si>
  <si>
    <t>Oman (OM)</t>
  </si>
  <si>
    <t>ar-OM</t>
  </si>
  <si>
    <t>Qatar (QA)</t>
  </si>
  <si>
    <t>ar-QA</t>
  </si>
  <si>
    <t>Saudi Arabia (SA)</t>
  </si>
  <si>
    <t>ar-SA</t>
  </si>
  <si>
    <t>Sudan (SD)</t>
  </si>
  <si>
    <t>ar-SD</t>
  </si>
  <si>
    <t>Syria (SY)</t>
  </si>
  <si>
    <t>ar-SY</t>
  </si>
  <si>
    <t>Tunisia (TN)</t>
  </si>
  <si>
    <t>ar-TN</t>
  </si>
  <si>
    <t>United Arab Emirates (AE)</t>
  </si>
  <si>
    <t>ar-AE</t>
  </si>
  <si>
    <t>Yemen (YE)</t>
  </si>
  <si>
    <t>ar-YE</t>
  </si>
  <si>
    <t>Belarusian (be)</t>
  </si>
  <si>
    <t>Belarus (BY)</t>
  </si>
  <si>
    <t>(Cyrl)</t>
  </si>
  <si>
    <t>be-BY</t>
  </si>
  <si>
    <t>Bulgarian (bg)</t>
  </si>
  <si>
    <t>Bulgaria (BG)</t>
  </si>
  <si>
    <t>bg-BG</t>
  </si>
  <si>
    <t>Catalan (ca)</t>
  </si>
  <si>
    <t>Spain (ES)</t>
  </si>
  <si>
    <t>ca-ES</t>
  </si>
  <si>
    <t>Chinese (zh)</t>
  </si>
  <si>
    <t>China (CN)</t>
  </si>
  <si>
    <t>(Hans)</t>
  </si>
  <si>
    <t>zh-CN</t>
  </si>
  <si>
    <t>Singapore (SG)</t>
  </si>
  <si>
    <t>zh-SG(*)</t>
  </si>
  <si>
    <t>Hong Kong (HK)</t>
  </si>
  <si>
    <t>(Hant)</t>
  </si>
  <si>
    <t>zh-HK</t>
  </si>
  <si>
    <t>Taiwan (TW)</t>
  </si>
  <si>
    <t>zh-TW</t>
  </si>
  <si>
    <t>Croatian (hr)</t>
  </si>
  <si>
    <t>Croatia (HR)</t>
  </si>
  <si>
    <t>hr-HR</t>
  </si>
  <si>
    <t>Czech (cs)</t>
  </si>
  <si>
    <t>Czech Republic (CZ)</t>
  </si>
  <si>
    <t>cs-CZ</t>
  </si>
  <si>
    <t>Danish (da)</t>
  </si>
  <si>
    <t>Denmark (DK)</t>
  </si>
  <si>
    <t>da-DK</t>
  </si>
  <si>
    <t>Dutch (nl)</t>
  </si>
  <si>
    <t>Belgium (BE)</t>
  </si>
  <si>
    <t>nl-BE</t>
  </si>
  <si>
    <t>Netherlands (NL)</t>
  </si>
  <si>
    <t>nl-NL</t>
  </si>
  <si>
    <t>English (en)</t>
  </si>
  <si>
    <t>Australia (AU)</t>
  </si>
  <si>
    <t>en-AU</t>
  </si>
  <si>
    <t>Canada (CA)</t>
  </si>
  <si>
    <t>en-CA</t>
  </si>
  <si>
    <t>India (IN)</t>
  </si>
  <si>
    <t>en-IN</t>
  </si>
  <si>
    <t>Ireland (IE)</t>
  </si>
  <si>
    <t>en-IE</t>
  </si>
  <si>
    <t>Malta (MT)</t>
  </si>
  <si>
    <t>en-MT(*)</t>
  </si>
  <si>
    <t>New Zealand (NZ)</t>
  </si>
  <si>
    <t>en-NZ</t>
  </si>
  <si>
    <t>Philippines (PH)</t>
  </si>
  <si>
    <t>en-PH(*)</t>
  </si>
  <si>
    <t>en-SG(*)</t>
  </si>
  <si>
    <t>South Africa (ZA)</t>
  </si>
  <si>
    <t>en-ZA</t>
  </si>
  <si>
    <t>United Kingdom (GB)</t>
  </si>
  <si>
    <t>en-GB</t>
  </si>
  <si>
    <t>United States (US)</t>
  </si>
  <si>
    <t>en-US</t>
  </si>
  <si>
    <t>Estonian (et)</t>
  </si>
  <si>
    <t>Estonia (EE)</t>
  </si>
  <si>
    <t>et-EE</t>
  </si>
  <si>
    <t>Finnish (fi)</t>
  </si>
  <si>
    <t>Finland (FI)</t>
  </si>
  <si>
    <t>fi-FI</t>
  </si>
  <si>
    <t>French (fr)</t>
  </si>
  <si>
    <t>fr-BE</t>
  </si>
  <si>
    <t>fr-CA</t>
  </si>
  <si>
    <t>France (FR)</t>
  </si>
  <si>
    <t>fr-FR</t>
  </si>
  <si>
    <t>Luxembourg (LU)</t>
  </si>
  <si>
    <t>fr-LU</t>
  </si>
  <si>
    <t>Switzerland (CH)</t>
  </si>
  <si>
    <t>fr-CH</t>
  </si>
  <si>
    <t>German (de)</t>
  </si>
  <si>
    <t>Austria (AT)</t>
  </si>
  <si>
    <t>de-AT</t>
  </si>
  <si>
    <t>Germany (DE)</t>
  </si>
  <si>
    <t>de-DE</t>
  </si>
  <si>
    <t>de-LU</t>
  </si>
  <si>
    <t>de-CH</t>
  </si>
  <si>
    <t>Greek (el)</t>
  </si>
  <si>
    <t>Cyprus (CY)</t>
  </si>
  <si>
    <t>(Grek)</t>
  </si>
  <si>
    <t>el-CY(*)</t>
  </si>
  <si>
    <t>Greece (GR)</t>
  </si>
  <si>
    <t>el-GR</t>
  </si>
  <si>
    <t>Hebrew (iw)</t>
  </si>
  <si>
    <t>Israel (IL)</t>
  </si>
  <si>
    <t>(Hebr)</t>
  </si>
  <si>
    <t>iw-IL</t>
  </si>
  <si>
    <t>Hindi (hi)</t>
  </si>
  <si>
    <t>(Deva)</t>
  </si>
  <si>
    <t>hi-IN</t>
  </si>
  <si>
    <t>Implicitly specifies the Devanagari numbering system.</t>
  </si>
  <si>
    <t>Hungarian (hu)</t>
  </si>
  <si>
    <t>Hungary (HU)</t>
  </si>
  <si>
    <t>hu-HU</t>
  </si>
  <si>
    <t>Icelandic (is)</t>
  </si>
  <si>
    <t>Iceland (IS)</t>
  </si>
  <si>
    <t>is-IS</t>
  </si>
  <si>
    <t>Indonesian (in)</t>
  </si>
  <si>
    <t>Indonesia (ID)</t>
  </si>
  <si>
    <t>in-ID(*)</t>
  </si>
  <si>
    <t>Irish (ga)</t>
  </si>
  <si>
    <t>ga-IE(*)</t>
  </si>
  <si>
    <t>Italian (it)</t>
  </si>
  <si>
    <t>Italy (IT)</t>
  </si>
  <si>
    <t>it-IT</t>
  </si>
  <si>
    <t>it-CH</t>
  </si>
  <si>
    <t>Japanese (ja)</t>
  </si>
  <si>
    <t>Japan (JP)</t>
  </si>
  <si>
    <t>(Jpan)</t>
  </si>
  <si>
    <t>ja-JP</t>
  </si>
  <si>
    <t>*</t>
  </si>
  <si>
    <t>ja-JP-u-ca-japanese</t>
  </si>
  <si>
    <t>Explicitly specifies the Japanese imperial calendar with java.util.Calendar.</t>
  </si>
  <si>
    <t>JP</t>
  </si>
  <si>
    <t>ja-JP-x-lvariant-JP</t>
  </si>
  <si>
    <t>Explicitly specifies the Japanese imperial calendar with java.util.Calendar. (For compatibility)</t>
  </si>
  <si>
    <t>Korean (ko)</t>
  </si>
  <si>
    <t>South Korea (KR)</t>
  </si>
  <si>
    <t>(Kore)</t>
  </si>
  <si>
    <t>ko-KR</t>
  </si>
  <si>
    <t>Latvian (lv)</t>
  </si>
  <si>
    <t>Latvia (LV)</t>
  </si>
  <si>
    <t>lv-LV</t>
  </si>
  <si>
    <t>Lithuanian (lt)</t>
  </si>
  <si>
    <t>Lithuania (LT)</t>
  </si>
  <si>
    <t>lt-LT</t>
  </si>
  <si>
    <t>Macedonian (mk)</t>
  </si>
  <si>
    <t>Macedonia (MK)</t>
  </si>
  <si>
    <t>mk-MK</t>
  </si>
  <si>
    <t>Malay (ms)</t>
  </si>
  <si>
    <t>Malaysia (MY)</t>
  </si>
  <si>
    <t>ms-MY(*)</t>
  </si>
  <si>
    <t>Maltese (mt)</t>
  </si>
  <si>
    <t>mt-MT(*)</t>
  </si>
  <si>
    <t>Norwegian (no)</t>
  </si>
  <si>
    <t>Norway (NO)</t>
  </si>
  <si>
    <t>no-NO</t>
  </si>
  <si>
    <t>“no” is treated as Norwegian Bokmål.</t>
  </si>
  <si>
    <t>Norwegian Bokmål (nb)</t>
  </si>
  <si>
    <t>nb-NO</t>
  </si>
  <si>
    <t>Norwegian Nynorsk (nn)</t>
  </si>
  <si>
    <t>nn-NO</t>
  </si>
  <si>
    <t>NY</t>
  </si>
  <si>
    <t>no-NO-x-lvariant-NY</t>
  </si>
  <si>
    <t>“no” is treated as Norwegian Nynorsk. (For compatibility)</t>
  </si>
  <si>
    <t>Polish (pl)</t>
  </si>
  <si>
    <t>Poland (PL)</t>
  </si>
  <si>
    <t>pl-PL</t>
  </si>
  <si>
    <t>Portuguese (pt)</t>
  </si>
  <si>
    <t>Brazil (BR)</t>
  </si>
  <si>
    <t>pt-BR(***)</t>
  </si>
  <si>
    <t>Portugal (PT)</t>
  </si>
  <si>
    <t>pt-PT(***)</t>
  </si>
  <si>
    <t>Romanian (ro)</t>
  </si>
  <si>
    <t>Romania (RO)</t>
  </si>
  <si>
    <t>ro-RO</t>
  </si>
  <si>
    <t>Russian (ru)</t>
  </si>
  <si>
    <t>Russia (RU)</t>
  </si>
  <si>
    <t>ru-RU</t>
  </si>
  <si>
    <t>Serbian (sr)</t>
  </si>
  <si>
    <t>Bosnia and Herzegovina (BA)</t>
  </si>
  <si>
    <t>sr-BA(*)</t>
  </si>
  <si>
    <t>Montenegro (ME)</t>
  </si>
  <si>
    <t>sr-ME(*)</t>
  </si>
  <si>
    <t>Serbia (RS)</t>
  </si>
  <si>
    <t>sr-RS(*)</t>
  </si>
  <si>
    <t>Latn</t>
  </si>
  <si>
    <t>sr-Latn-BA(**)</t>
  </si>
  <si>
    <t>sr-Latn-ME(**)</t>
  </si>
  <si>
    <t>sr-Latn-RS(**)</t>
  </si>
  <si>
    <t>Slovak (sk)</t>
  </si>
  <si>
    <t>Slovakia (SK)</t>
  </si>
  <si>
    <t>sk-SK</t>
  </si>
  <si>
    <t>Slovenian (sl)</t>
  </si>
  <si>
    <t>Slovenia (SI)</t>
  </si>
  <si>
    <t>sl-SI</t>
  </si>
  <si>
    <t>Spanish (es)</t>
  </si>
  <si>
    <t>Argentina (AR)</t>
  </si>
  <si>
    <t>es-AR</t>
  </si>
  <si>
    <t>Bolivia (BO)</t>
  </si>
  <si>
    <t>es-BO</t>
  </si>
  <si>
    <t>Chile (CL)</t>
  </si>
  <si>
    <t>es-CL</t>
  </si>
  <si>
    <t>Colombia (CO)</t>
  </si>
  <si>
    <t>es-CO</t>
  </si>
  <si>
    <t>Costa Rica (CR)</t>
  </si>
  <si>
    <t>es-CR</t>
  </si>
  <si>
    <t>Dominican Republic (DO)</t>
  </si>
  <si>
    <t>es-DO</t>
  </si>
  <si>
    <t>Ecuador (EC)</t>
  </si>
  <si>
    <t>es-EC</t>
  </si>
  <si>
    <t>El Salvador (SV)</t>
  </si>
  <si>
    <t>es-SV</t>
  </si>
  <si>
    <t>Guatemala (GT)</t>
  </si>
  <si>
    <t>es-GT</t>
  </si>
  <si>
    <t>Honduras (HN)</t>
  </si>
  <si>
    <t>es-HN</t>
  </si>
  <si>
    <t>Mexico (MX)</t>
  </si>
  <si>
    <t>es-MX</t>
  </si>
  <si>
    <t>Nicaragua (NL)</t>
  </si>
  <si>
    <t>es-NI</t>
  </si>
  <si>
    <t>Panama (PA)</t>
  </si>
  <si>
    <t>es-PA</t>
  </si>
  <si>
    <t>Paraguay (PY)</t>
  </si>
  <si>
    <t>es-PY</t>
  </si>
  <si>
    <t>Peru (PE)</t>
  </si>
  <si>
    <t>es-PE</t>
  </si>
  <si>
    <t>Puerto Rico (PR)</t>
  </si>
  <si>
    <t>es-PR</t>
  </si>
  <si>
    <t>es-ES</t>
  </si>
  <si>
    <t>es-US(*)</t>
  </si>
  <si>
    <t>Uruguay (UY)</t>
  </si>
  <si>
    <t>es-UY</t>
  </si>
  <si>
    <t>Venezuela (VE)</t>
  </si>
  <si>
    <t>es-VE</t>
  </si>
  <si>
    <t>Swedish (sv)</t>
  </si>
  <si>
    <t>Sweden (SE)</t>
  </si>
  <si>
    <t>sv-SE</t>
  </si>
  <si>
    <t>Thai (th)</t>
  </si>
  <si>
    <t>Thailand (TH)</t>
  </si>
  <si>
    <t>(Thai)</t>
  </si>
  <si>
    <t>th-TH</t>
  </si>
  <si>
    <t>Implicitly specifies the Latin numbering system and the Thai Buddhist calendar with java.util.Calendar.</t>
  </si>
  <si>
    <t>th-TH-u-ca-buddhist</t>
  </si>
  <si>
    <t>Implicitly specifies the Latin numbering system. Explicitly specifies the Thai Buddhist calendar with java.util.Calendar.</t>
  </si>
  <si>
    <t>th-TH-u-ca-buddhist-nu-thai</t>
  </si>
  <si>
    <t>Explicitly specifies the Thai numbering system and the Thai Buddhist calendar with java.util.Calendar.</t>
  </si>
  <si>
    <t>TH</t>
  </si>
  <si>
    <t>th-TH-x-lvariant-TH</t>
  </si>
  <si>
    <t>Explicitly specifies the Thai numbering system and the Thai Buddhist calendar with java.util.Calendar. (For compatibility)</t>
  </si>
  <si>
    <t>Turkish (tr)</t>
  </si>
  <si>
    <t>Turkey (TR)</t>
  </si>
  <si>
    <t>tr-TR</t>
  </si>
  <si>
    <t>Ukrainian (uk)</t>
  </si>
  <si>
    <t>Ukraine (UA)</t>
  </si>
  <si>
    <t>uk-UA</t>
  </si>
  <si>
    <t>Vietnamese (vi)</t>
  </si>
  <si>
    <t>Vietnam (VN)</t>
  </si>
  <si>
    <t>vi-VN</t>
  </si>
  <si>
    <t>${source.localeSelected}</t>
  </si>
  <si>
    <t>${column.regex}</t>
  </si>
  <si>
    <t>${column.replacement}</t>
  </si>
  <si>
    <t>${source.encryptionAlgo}</t>
  </si>
  <si>
    <t>Language</t>
  </si>
  <si>
    <t>Country</t>
  </si>
  <si>
    <t>Script</t>
  </si>
  <si>
    <t>${source.'mod'}</t>
  </si>
  <si>
    <t>Request for Init. Mod</t>
  </si>
  <si>
    <t>Minimum lines for file creation</t>
  </si>
  <si>
    <t>${source.minimumLines}</t>
  </si>
  <si>
    <t xml:space="preserve">Anonymisation Regex </t>
  </si>
  <si>
    <t>Anonymisation replacement</t>
  </si>
  <si>
    <t>Language - Contry</t>
  </si>
  <si>
    <t>Field for Freshness Management</t>
  </si>
  <si>
    <t>${source.freshness}</t>
  </si>
  <si>
    <t>Field for freshness threshold</t>
  </si>
  <si>
    <t>${source.freshnessSla}</t>
  </si>
  <si>
    <t>LDAP</t>
  </si>
  <si>
    <t>Hostname</t>
  </si>
  <si>
    <t>User DN</t>
  </si>
  <si>
    <t>Base DN</t>
  </si>
  <si>
    <t>Search</t>
  </si>
  <si>
    <t>Attributes</t>
  </si>
  <si>
    <t>Scope</t>
  </si>
  <si>
    <t>${source.ldapMode}</t>
  </si>
  <si>
    <t>${source.ldapHostname}</t>
  </si>
  <si>
    <t>${source.ldapSSL}</t>
  </si>
  <si>
    <t>${source.ldapPort}</t>
  </si>
  <si>
    <t>${source.ldapUserDN}</t>
  </si>
  <si>
    <t>${source.ldapPassword}</t>
  </si>
  <si>
    <t>${source.ldapBaseDN}</t>
  </si>
  <si>
    <t>${source.ldapSearch}</t>
  </si>
  <si>
    <t>${source.ldapAttributes}</t>
  </si>
  <si>
    <t>${source.ldapScope}</t>
  </si>
  <si>
    <t>${domainId}</t>
  </si>
  <si>
    <t>${domainName}</t>
  </si>
  <si>
    <t>${dataSetType}</t>
  </si>
  <si>
    <t>Use Groovy script</t>
  </si>
  <si>
    <t>Cf https://nifi.apache.org/docs/nifi-docs/components/org.apache.nifi/nifi-groovyx-nar/1.5.0/org.apache.nifi.processors.groovyx.ExecuteGroovyScript/additionalDetails.html</t>
  </si>
  <si>
    <t>${source.groovyMode}</t>
  </si>
  <si>
    <t>${source.groovyScript}</t>
  </si>
  <si>
    <t>V8.0</t>
  </si>
  <si>
    <t>V8.1</t>
  </si>
  <si>
    <t>Add "Minimum lines for file creation"</t>
  </si>
  <si>
    <t>V8.2</t>
  </si>
  <si>
    <t>Add "Locale (Language - Country)"</t>
  </si>
  <si>
    <t>V8.3</t>
  </si>
  <si>
    <t>Add "Uncryption"</t>
  </si>
  <si>
    <t>V8.4</t>
  </si>
  <si>
    <t>Add "Ingestion Mod"</t>
  </si>
  <si>
    <t>V8.5</t>
  </si>
  <si>
    <t>Bug correction about, replace all fileds by X in case of multi-selection.</t>
  </si>
  <si>
    <t>V8.6</t>
  </si>
  <si>
    <t xml:space="preserve">Add RegEx fields for pseudonimysation of column </t>
  </si>
  <si>
    <t>Add field "Request for Init. Mod"  for JDBC Connector</t>
  </si>
  <si>
    <t>V8.7</t>
  </si>
  <si>
    <t>Add field "Field for Freshness Management"</t>
  </si>
  <si>
    <t>V8.8</t>
  </si>
  <si>
    <t>Add Field for freshness threshold</t>
  </si>
  <si>
    <t>V9.0</t>
  </si>
  <si>
    <t>Add new connector LDAP 
Add IngestionTime ingestion for kafka
Add Metadata Map postprocessing</t>
  </si>
  <si>
    <t>V9.1</t>
  </si>
  <si>
    <t>Add groovy script</t>
  </si>
  <si>
    <t>Topic Name</t>
  </si>
  <si>
    <t>Group Id</t>
  </si>
  <si>
    <t>Estimate Max volume by hour</t>
  </si>
  <si>
    <t>V9.2</t>
  </si>
  <si>
    <t>Add new Map coonector</t>
  </si>
  <si>
    <t>Schedule cleaning on demand</t>
  </si>
  <si>
    <t>${source.onDemand}</t>
  </si>
  <si>
    <t>Add Schedule cleaning on demand</t>
  </si>
  <si>
    <t>C. Juste</t>
  </si>
  <si>
    <t>V10.0</t>
  </si>
  <si>
    <t>Source Data Type</t>
  </si>
  <si>
    <t>Output Data Type</t>
  </si>
  <si>
    <t>sourceData</t>
  </si>
  <si>
    <t>preparedData</t>
  </si>
  <si>
    <t>enriched</t>
  </si>
  <si>
    <t>enrichedData</t>
  </si>
  <si>
    <t>usage</t>
  </si>
  <si>
    <t>usageData</t>
  </si>
  <si>
    <t>${source.sourceDataType}</t>
  </si>
  <si>
    <t>${source.outputDataType}</t>
  </si>
  <si>
    <t>Not Defined</t>
  </si>
  <si>
    <t>FULL</t>
  </si>
  <si>
    <t>DELTA</t>
  </si>
  <si>
    <t>AlimentationMode</t>
  </si>
  <si>
    <t>${source.alimentationMode}</t>
  </si>
  <si>
    <t>Alimentation Mode</t>
  </si>
  <si>
    <t>Partition Criteria</t>
  </si>
  <si>
    <t>${source.subDirectories}</t>
  </si>
  <si>
    <t>V11.0</t>
  </si>
  <si>
    <t>Remove Kafka connector (moved to Krankenn) and adds source data type</t>
  </si>
  <si>
    <t>V11.1</t>
  </si>
  <si>
    <t>Add configurable output data type</t>
  </si>
  <si>
    <t>add new cell alimentationMode</t>
  </si>
  <si>
    <t>V11.2</t>
  </si>
  <si>
    <t>G.Denoual</t>
  </si>
  <si>
    <t>V12.0</t>
  </si>
  <si>
    <t>Add new cell Partition Criteria</t>
  </si>
  <si>
    <t>${source.encryptionRawKey}</t>
  </si>
  <si>
    <t>${source.ingestionMod}</t>
  </si>
  <si>
    <t>${source.insertLineNumber}</t>
  </si>
  <si>
    <t>V12.1</t>
  </si>
  <si>
    <t>Add "insert line number" possibility</t>
  </si>
  <si>
    <t>Insert line number</t>
  </si>
  <si>
    <t>FIXED-WIDTH</t>
  </si>
  <si>
    <t>Add "iFixed width" parser</t>
  </si>
  <si>
    <t>V12.2</t>
  </si>
  <si>
    <t>${source.requestJdbcInitMod}</t>
  </si>
  <si>
    <t>File Name</t>
  </si>
  <si>
    <t>Email</t>
  </si>
  <si>
    <t>OBSIT Socle Technique</t>
  </si>
  <si>
    <t>DSIE Socle Technique</t>
  </si>
  <si>
    <t>Version CI</t>
  </si>
  <si>
    <t>${domainVersion}</t>
  </si>
  <si>
    <t>$[TEXT('${sheetName}'!C20,"")]</t>
  </si>
  <si>
    <t>$[TEXT('${sheetName}'!C18,"")]</t>
  </si>
  <si>
    <t>V13.0</t>
  </si>
  <si>
    <t>Remove unused Fields</t>
  </si>
  <si>
    <t>DataSource Type</t>
  </si>
  <si>
    <t>DataSource Basicat</t>
  </si>
  <si>
    <t>Datasource Version</t>
  </si>
  <si>
    <t>V13.1</t>
  </si>
  <si>
    <t>A.Elasame</t>
  </si>
  <si>
    <t>Add field "Default Time zone / Zone offset"</t>
  </si>
  <si>
    <t>Default Time zone / Zone offset</t>
  </si>
  <si>
    <t>Time Zone Zone Offset</t>
  </si>
  <si>
    <t>Zone Id</t>
  </si>
  <si>
    <t>GMT</t>
  </si>
  <si>
    <t>Greenwich Mean Time</t>
  </si>
  <si>
    <t>CET</t>
  </si>
  <si>
    <t>Central European Time</t>
  </si>
  <si>
    <t>Europe/Paris</t>
  </si>
  <si>
    <t>ART</t>
  </si>
  <si>
    <t>(Arabic) Egypt Standard Time</t>
  </si>
  <si>
    <t>Africa/Cairo</t>
  </si>
  <si>
    <t>EAT</t>
  </si>
  <si>
    <t>Eastern African Time</t>
  </si>
  <si>
    <t>Africa/Addis_Ababa</t>
  </si>
  <si>
    <t>NET</t>
  </si>
  <si>
    <t>Near East Time</t>
  </si>
  <si>
    <t>Asia/Yerevan</t>
  </si>
  <si>
    <t>PLT</t>
  </si>
  <si>
    <t>Pakistan Lahore Time</t>
  </si>
  <si>
    <t>Asia/Karachi</t>
  </si>
  <si>
    <t>IST</t>
  </si>
  <si>
    <t>India Standard Time</t>
  </si>
  <si>
    <t>Asia/Kolkata</t>
  </si>
  <si>
    <t>BST</t>
  </si>
  <si>
    <t>Bangladesh Standard Time</t>
  </si>
  <si>
    <t>Asia/Dhaka</t>
  </si>
  <si>
    <t>VST</t>
  </si>
  <si>
    <t>Vietnam Standard Time</t>
  </si>
  <si>
    <t>Asia/Ho_Chi_Minh</t>
  </si>
  <si>
    <t>CTT</t>
  </si>
  <si>
    <t>China Taiwan Time</t>
  </si>
  <si>
    <t>Asia/Shanghai</t>
  </si>
  <si>
    <t>JST</t>
  </si>
  <si>
    <t>Japan Standard Time</t>
  </si>
  <si>
    <t>Asia/Tokyo</t>
  </si>
  <si>
    <t>ACT</t>
  </si>
  <si>
    <t>Australia Central Time</t>
  </si>
  <si>
    <t>Australia/Darwin</t>
  </si>
  <si>
    <t>AET</t>
  </si>
  <si>
    <t>Australia Eastern Time</t>
  </si>
  <si>
    <t>Australia/Sydney</t>
  </si>
  <si>
    <t>SST</t>
  </si>
  <si>
    <t>Solomon Standard Time</t>
  </si>
  <si>
    <t>Pacific/Guadalcanal</t>
  </si>
  <si>
    <t>NST</t>
  </si>
  <si>
    <t>New Zealand Standard Time</t>
  </si>
  <si>
    <t>Pacific/Auckland</t>
  </si>
  <si>
    <t>HST</t>
  </si>
  <si>
    <t>Hawaii Standard Time</t>
  </si>
  <si>
    <t>-10:00</t>
  </si>
  <si>
    <t>AST</t>
  </si>
  <si>
    <t>Alaska Standard Time</t>
  </si>
  <si>
    <t>America/Anchorage</t>
  </si>
  <si>
    <t>PST</t>
  </si>
  <si>
    <t>Pacific Standard Time</t>
  </si>
  <si>
    <t>America/Los_Angeles</t>
  </si>
  <si>
    <t>PNT</t>
  </si>
  <si>
    <t>Phoenix Standard Time</t>
  </si>
  <si>
    <t>America/Phoenix</t>
  </si>
  <si>
    <t>MST</t>
  </si>
  <si>
    <t>Mountain Standard Time</t>
  </si>
  <si>
    <t>-07:00</t>
  </si>
  <si>
    <t>CST</t>
  </si>
  <si>
    <t>Central Standard Time</t>
  </si>
  <si>
    <t>America/Chicago</t>
  </si>
  <si>
    <t>EST</t>
  </si>
  <si>
    <t>Eastern Standard Time</t>
  </si>
  <si>
    <t>-05:00</t>
  </si>
  <si>
    <t>IET</t>
  </si>
  <si>
    <t>Indiana Eastern Standard Time</t>
  </si>
  <si>
    <t>America/Indiana/Indianapolis</t>
  </si>
  <si>
    <t>PRT</t>
  </si>
  <si>
    <t>Puerto Rico and US Virgin Islands Time</t>
  </si>
  <si>
    <t>America/Puerto_Rico</t>
  </si>
  <si>
    <t>CNT</t>
  </si>
  <si>
    <t>Canada Newfoundland Time</t>
  </si>
  <si>
    <t>America/St_Johns</t>
  </si>
  <si>
    <t>AGT</t>
  </si>
  <si>
    <t>Argentina Standard Time</t>
  </si>
  <si>
    <t>America/Argentina/Buenos_Aires</t>
  </si>
  <si>
    <t>BET</t>
  </si>
  <si>
    <t>Brazil Eastern Time</t>
  </si>
  <si>
    <t>America/Sao_Paulo</t>
  </si>
  <si>
    <t>CAT</t>
  </si>
  <si>
    <t>Central African Time</t>
  </si>
  <si>
    <t>Africa/Harare</t>
  </si>
  <si>
    <t>GMT+00:00</t>
  </si>
  <si>
    <t>GMT+01:00</t>
  </si>
  <si>
    <t>+01:00</t>
  </si>
  <si>
    <t>GMT+02:00</t>
  </si>
  <si>
    <t>+02:00</t>
  </si>
  <si>
    <t>GMT+03:00</t>
  </si>
  <si>
    <t>+03:00</t>
  </si>
  <si>
    <t>GMT+04:00</t>
  </si>
  <si>
    <t>+04:00</t>
  </si>
  <si>
    <t>GMT+05:00</t>
  </si>
  <si>
    <t>+05:00</t>
  </si>
  <si>
    <t>GMT+06:00</t>
  </si>
  <si>
    <t>+06:00</t>
  </si>
  <si>
    <t>GMT+07:00</t>
  </si>
  <si>
    <t>+07:00</t>
  </si>
  <si>
    <t>GMT+08:00</t>
  </si>
  <si>
    <t>+08:00</t>
  </si>
  <si>
    <t>GMT+09:00</t>
  </si>
  <si>
    <t>+09:00</t>
  </si>
  <si>
    <t>GMT+10:00</t>
  </si>
  <si>
    <t>+10:00</t>
  </si>
  <si>
    <t>GMT+11:00</t>
  </si>
  <si>
    <t>+11:00</t>
  </si>
  <si>
    <t>GMT+12:00</t>
  </si>
  <si>
    <t>+12:00</t>
  </si>
  <si>
    <t>GMT-11:00</t>
  </si>
  <si>
    <t>-11:00</t>
  </si>
  <si>
    <t>GMT-10:00</t>
  </si>
  <si>
    <t>-12:00</t>
  </si>
  <si>
    <t>GMT-09:00</t>
  </si>
  <si>
    <t>-09:00</t>
  </si>
  <si>
    <t>GMT-08:00</t>
  </si>
  <si>
    <t>-08:00</t>
  </si>
  <si>
    <t>GMT-07:00</t>
  </si>
  <si>
    <t>GMT-06:00</t>
  </si>
  <si>
    <t>-06:00</t>
  </si>
  <si>
    <t>GMT-05:00</t>
  </si>
  <si>
    <t>GMT-04:00</t>
  </si>
  <si>
    <t>-04:00</t>
  </si>
  <si>
    <t>GMT-03:00</t>
  </si>
  <si>
    <t>-03:00</t>
  </si>
  <si>
    <t>GMT-02:00</t>
  </si>
  <si>
    <t>-02:00</t>
  </si>
  <si>
    <t>GMT-01:00</t>
  </si>
  <si>
    <t>-01:00</t>
  </si>
  <si>
    <t>${source.defaultZoneSelected}</t>
  </si>
  <si>
    <t>${source.mapQuarkusMode}</t>
  </si>
  <si>
    <t>Map - Ordered lines</t>
  </si>
  <si>
    <t>${source.mapQuarkusTopic}</t>
  </si>
  <si>
    <t>${source.mapQuarkusGroupId}</t>
  </si>
  <si>
    <t>${source.mapQuarkusVolume}</t>
  </si>
  <si>
    <t>${source.mapQuarkusHeader}</t>
  </si>
  <si>
    <t>Add MAP - Ordered lines</t>
  </si>
  <si>
    <t>V13.2</t>
  </si>
  <si>
    <t>Header count strategy</t>
  </si>
  <si>
    <t>Add Efiles</t>
  </si>
  <si>
    <t>Efiles</t>
  </si>
  <si>
    <t>${source.efilesMode}</t>
  </si>
  <si>
    <t>Stream number</t>
  </si>
  <si>
    <t>${source.efilesStream}</t>
  </si>
  <si>
    <t>${source.efilesMaxVolume}</t>
  </si>
  <si>
    <t>V13.3</t>
  </si>
  <si>
    <t>F.Claveau</t>
  </si>
  <si>
    <t>Add Cloud Storage</t>
  </si>
  <si>
    <t>Cloud Storage</t>
  </si>
  <si>
    <t>${source.cloudStorageMode}</t>
  </si>
  <si>
    <t>${source.accountJsonFile}</t>
  </si>
  <si>
    <t>${source.accountJson}</t>
  </si>
  <si>
    <t>${source.bucket}</t>
  </si>
  <si>
    <t>${source.projectId}</t>
  </si>
  <si>
    <t>Bucket</t>
  </si>
  <si>
    <t>File name</t>
  </si>
  <si>
    <t>Project Id</t>
  </si>
  <si>
    <t>Account JSON file</t>
  </si>
  <si>
    <t>Account JSON</t>
  </si>
  <si>
    <t>${source.mapUseReceiveDate}</t>
  </si>
  <si>
    <t>Use receive date as nominal date</t>
  </si>
  <si>
    <t>PARQUET</t>
  </si>
  <si>
    <t>V14.0</t>
  </si>
  <si>
    <t>Add Use receive date as nominal date / Add Parquet Format  / Remove source.postprocessingMetadatMap / Remove Map connector</t>
  </si>
  <si>
    <t>Connector type</t>
  </si>
  <si>
    <t>Multiple Ftps</t>
  </si>
  <si>
    <t>Simple Ftps</t>
  </si>
  <si>
    <t>Map</t>
  </si>
  <si>
    <t>Groovy script</t>
  </si>
  <si>
    <t>Krankenn</t>
  </si>
  <si>
    <t>${source.connectorType}</t>
  </si>
  <si>
    <t>V15.1</t>
  </si>
  <si>
    <t>Add "Connector Type"</t>
  </si>
  <si>
    <t>V15.0</t>
  </si>
  <si>
    <t>V15.2</t>
  </si>
  <si>
    <t>Add "DColumn" parser</t>
  </si>
  <si>
    <t>DCOLUMN</t>
  </si>
  <si>
    <t>V15.3</t>
  </si>
  <si>
    <t>Add "MAP-CSV" parser</t>
  </si>
  <si>
    <t>MAP-CSV</t>
  </si>
  <si>
    <t>Boom</t>
  </si>
  <si>
    <t>${source.efilesDatasetNameTranslation}</t>
  </si>
  <si>
    <t>${source.efilesFileNameInArchive}</t>
  </si>
  <si>
    <t>16.0</t>
  </si>
  <si>
    <t>V16.0</t>
  </si>
  <si>
    <t>Add Efiles "Datasetname Translation" and "File Name in archive"</t>
  </si>
  <si>
    <t/>
  </si>
  <si>
    <t>DSIEP</t>
  </si>
  <si>
    <t>Dinamo</t>
  </si>
  <si>
    <t>29B</t>
  </si>
  <si>
    <t>0.4</t>
  </si>
  <si>
    <t>BYPASS</t>
  </si>
  <si>
    <t>Liste des By Pass</t>
  </si>
  <si>
    <t>No</t>
  </si>
  <si>
    <t>0.9</t>
  </si>
  <si>
    <t>FACT dataSet</t>
  </si>
  <si>
    <t>735</t>
  </si>
  <si>
    <t>BYPASS_YYYYMMDDHHMISS.csv</t>
  </si>
  <si>
    <t>0 7 * * *</t>
  </si>
  <si>
    <t>;</t>
  </si>
  <si>
    <t>\n</t>
  </si>
  <si>
    <t>false</t>
  </si>
  <si>
    <t>none</t>
  </si>
  <si>
    <t>Yes</t>
  </si>
  <si>
    <t>yyyyMMddHHmmss</t>
  </si>
  <si>
    <t xml:space="preserve">0 7 * * * </t>
  </si>
  <si>
    <t>None</t>
  </si>
  <si>
    <t>call</t>
  </si>
  <si>
    <t>DEFAULT</t>
  </si>
  <si>
    <t>0</t>
  </si>
  <si>
    <t>False</t>
  </si>
  <si>
    <t>BP_CODE</t>
  </si>
  <si>
    <t>code bypass</t>
  </si>
  <si>
    <t>int</t>
  </si>
  <si>
    <t>X</t>
  </si>
  <si>
    <t>BP_LIBEL</t>
  </si>
  <si>
    <t>libelle bypass</t>
  </si>
  <si>
    <t>string</t>
  </si>
  <si>
    <t>Y</t>
  </si>
  <si>
    <t>CIB_ID</t>
  </si>
  <si>
    <t>id de la cible</t>
  </si>
  <si>
    <t>BYPASS_MOTIF</t>
  </si>
  <si>
    <t>motif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</si>
</sst>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_-* #,##0.00\ _€_-;\-* #,##0.00\ _€_-;_-* &quot;-&quot;??\ _€_-;_-@_-"/>
    <numFmt numFmtId="165" formatCode="#.0#############E+###"/>
    <numFmt numFmtId="166" formatCode=";;;**"/>
  </numFmts>
  <fonts count="9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8"/>
      <name val="Arial"/>
      <family val="2"/>
    </font>
    <font>
      <b/>
      <sz val="10"/>
      <name val="Arial"/>
      <family val="2"/>
    </font>
    <font>
      <b/>
      <sz val="7.5"/>
      <name val="Arial"/>
      <family val="2"/>
    </font>
    <font>
      <b/>
      <sz val="14"/>
      <color indexed="9"/>
      <name val="Arial"/>
      <family val="2"/>
    </font>
    <font>
      <b/>
      <sz val="10"/>
      <color indexed="9"/>
      <name val="Arial"/>
      <family val="2"/>
    </font>
    <font>
      <sz val="8"/>
      <name val="Arial"/>
      <family val="2"/>
    </font>
    <font>
      <u/>
      <sz val="10"/>
      <color indexed="12"/>
      <name val="Arial"/>
      <family val="2"/>
    </font>
    <font>
      <sz val="11"/>
      <color indexed="8"/>
      <name val="Calibri"/>
      <family val="2"/>
    </font>
    <font>
      <sz val="11"/>
      <color indexed="9"/>
      <name val="Calibri"/>
      <family val="2"/>
    </font>
    <font>
      <sz val="11"/>
      <color indexed="10"/>
      <name val="Calibri"/>
      <family val="2"/>
    </font>
    <font>
      <b/>
      <sz val="11"/>
      <color indexed="52"/>
      <name val="Calibri"/>
      <family val="2"/>
    </font>
    <font>
      <sz val="11"/>
      <color indexed="52"/>
      <name val="Calibri"/>
      <family val="2"/>
    </font>
    <font>
      <sz val="11"/>
      <color indexed="62"/>
      <name val="Calibri"/>
      <family val="2"/>
    </font>
    <font>
      <sz val="11"/>
      <color indexed="20"/>
      <name val="Calibri"/>
      <family val="2"/>
    </font>
    <font>
      <sz val="11"/>
      <color indexed="60"/>
      <name val="Calibri"/>
      <family val="2"/>
    </font>
    <font>
      <sz val="11"/>
      <color indexed="17"/>
      <name val="Calibri"/>
      <family val="2"/>
    </font>
    <font>
      <b/>
      <sz val="11"/>
      <color indexed="63"/>
      <name val="Calibri"/>
      <family val="2"/>
    </font>
    <font>
      <i/>
      <sz val="11"/>
      <color indexed="23"/>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1"/>
      <color indexed="9"/>
      <name val="Calibri"/>
      <family val="2"/>
    </font>
    <font>
      <sz val="10"/>
      <color theme="1"/>
      <name val="Arial"/>
      <family val="2"/>
    </font>
    <font>
      <b/>
      <sz val="14"/>
      <name val="Arial"/>
      <family val="2"/>
    </font>
    <font>
      <sz val="9"/>
      <color indexed="81"/>
      <name val="Tahoma"/>
      <family val="2"/>
    </font>
    <font>
      <u/>
      <sz val="10"/>
      <color theme="10"/>
      <name val="Arial"/>
      <family val="2"/>
    </font>
    <font>
      <b/>
      <sz val="8"/>
      <color indexed="9"/>
      <name val="Arial"/>
      <family val="2"/>
    </font>
    <font>
      <sz val="5"/>
      <name val="Arial"/>
      <family val="2"/>
    </font>
    <font>
      <b/>
      <sz val="35"/>
      <name val="Arial"/>
      <family val="2"/>
    </font>
    <font>
      <b/>
      <sz val="9"/>
      <color indexed="81"/>
      <name val="Tahoma"/>
      <family val="2"/>
    </font>
    <font>
      <b/>
      <sz val="10"/>
      <color theme="0"/>
      <name val="Arial"/>
      <family val="2"/>
    </font>
    <font>
      <sz val="10"/>
      <color rgb="FF000000"/>
      <name val="Arial"/>
      <family val="2"/>
    </font>
    <font>
      <b/>
      <sz val="9"/>
      <color theme="0"/>
      <name val="Arial"/>
      <family val="2"/>
    </font>
    <font>
      <sz val="10"/>
      <name val="Arial"/>
      <family val="2"/>
    </font>
    <font>
      <sz val="10"/>
      <color theme="0"/>
      <name val="Arial"/>
      <family val="2"/>
    </font>
    <font>
      <b/>
      <sz val="16"/>
      <name val="Arial"/>
      <family val="2"/>
    </font>
    <font>
      <b/>
      <sz val="12"/>
      <color indexed="9"/>
      <name val="Arial"/>
      <family val="2"/>
    </font>
    <font>
      <b/>
      <sz val="11"/>
      <color theme="0"/>
      <name val="Arial"/>
      <family val="2"/>
    </font>
    <font>
      <b/>
      <sz val="14"/>
      <color theme="0"/>
      <name val="Arial"/>
      <family val="2"/>
    </font>
    <font>
      <b/>
      <sz val="24"/>
      <color rgb="FF00B050"/>
      <name val="Arial"/>
      <family val="2"/>
    </font>
    <font>
      <b/>
      <sz val="16"/>
      <color indexed="9"/>
      <name val="Arial"/>
      <family val="2"/>
    </font>
    <font>
      <b/>
      <sz val="20"/>
      <color rgb="FF00B050"/>
      <name val="Arial"/>
      <family val="2"/>
    </font>
    <font>
      <sz val="10"/>
      <color rgb="FF363636"/>
      <name val="Tahoma"/>
      <family val="2"/>
    </font>
    <font>
      <b/>
      <sz val="10"/>
      <color rgb="FF363636"/>
      <name val="Tahoma"/>
      <family val="2"/>
    </font>
    <font>
      <b/>
      <sz val="10"/>
      <color theme="0"/>
      <name val="Tahoma"/>
      <family val="2"/>
    </font>
    <font>
      <sz val="12"/>
      <name val="Times New Roman"/>
      <family val="1"/>
    </font>
    <font>
      <sz val="9"/>
      <name val="Arial"/>
      <family val="2"/>
    </font>
    <font>
      <sz val="8"/>
      <color theme="0"/>
      <name val="Arial"/>
      <family val="2"/>
    </font>
    <font>
      <i/>
      <sz val="10"/>
      <name val="Arial"/>
      <family val="2"/>
    </font>
    <font>
      <b/>
      <sz val="18"/>
      <name val="Arial"/>
      <family val="2"/>
    </font>
    <font>
      <b/>
      <sz val="12"/>
      <color theme="0"/>
      <name val="Arial"/>
      <family val="2"/>
    </font>
    <font>
      <sz val="10"/>
      <name val="Arial"/>
      <family val="2"/>
    </font>
    <font>
      <sz val="10"/>
      <name val="Arial"/>
      <family val="2"/>
    </font>
    <font>
      <sz val="14"/>
      <name val="Arial"/>
      <family val="2"/>
    </font>
    <font>
      <sz val="14"/>
      <color theme="0"/>
      <name val="Arial"/>
      <family val="2"/>
    </font>
    <font>
      <sz val="11"/>
      <color rgb="FF1F497D"/>
      <name val="Calibri"/>
      <family val="2"/>
    </font>
    <font>
      <b/>
      <sz val="11"/>
      <color rgb="FF1F497D"/>
      <name val="Calibri"/>
      <family val="2"/>
    </font>
    <font>
      <b/>
      <sz val="8"/>
      <color rgb="FFFF0000"/>
      <name val="Arial"/>
      <family val="2"/>
    </font>
    <font>
      <b/>
      <sz val="9"/>
      <color indexed="9"/>
      <name val="Arial"/>
      <family val="2"/>
    </font>
    <font>
      <b/>
      <sz val="12"/>
      <name val="Arial"/>
      <family val="2"/>
    </font>
    <font>
      <b/>
      <sz val="8"/>
      <color rgb="FFFFFF00"/>
      <name val="Arial"/>
      <family val="2"/>
    </font>
    <font>
      <b/>
      <sz val="16"/>
      <color rgb="FFE2CFF1"/>
      <name val="Arial"/>
      <family val="2"/>
    </font>
    <font>
      <sz val="10"/>
      <color rgb="FFE2CFF1"/>
      <name val="Arial"/>
      <family val="2"/>
    </font>
    <font>
      <sz val="10"/>
      <color theme="0" tint="-0.249977111117893"/>
      <name val="Arial"/>
      <family val="2"/>
    </font>
    <font>
      <b/>
      <sz val="11"/>
      <color indexed="9"/>
      <name val="Arial"/>
      <family val="2"/>
    </font>
    <font>
      <sz val="10"/>
      <name val="Segoe UI"/>
      <family val="2"/>
    </font>
    <font>
      <b/>
      <sz val="8"/>
      <color theme="0"/>
      <name val="Arial"/>
      <family val="2"/>
    </font>
    <font>
      <sz val="18"/>
      <color theme="0"/>
      <name val="Arial"/>
      <family val="2"/>
    </font>
    <font>
      <b/>
      <sz val="8"/>
      <color rgb="FF00B050"/>
      <name val="Arial"/>
      <family val="2"/>
    </font>
  </fonts>
  <fills count="59">
    <fill>
      <patternFill patternType="none"/>
    </fill>
    <fill>
      <patternFill patternType="gray125"/>
    </fill>
    <fill>
      <patternFill patternType="solid">
        <fgColor indexed="47"/>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26"/>
      </patternFill>
    </fill>
    <fill>
      <patternFill patternType="solid">
        <fgColor indexed="43"/>
      </patternFill>
    </fill>
    <fill>
      <patternFill patternType="solid">
        <fgColor indexed="55"/>
      </patternFill>
    </fill>
    <fill>
      <patternFill patternType="solid">
        <fgColor rgb="FF92D050"/>
        <bgColor indexed="64"/>
      </patternFill>
    </fill>
    <fill>
      <patternFill patternType="solid">
        <fgColor rgb="FF7030A0"/>
        <bgColor indexed="64"/>
      </patternFill>
    </fill>
    <fill>
      <patternFill patternType="solid">
        <fgColor rgb="FFFF6600"/>
        <bgColor indexed="64"/>
      </patternFill>
    </fill>
    <fill>
      <patternFill patternType="solid">
        <fgColor rgb="FFFF9966"/>
        <bgColor indexed="64"/>
      </patternFill>
    </fill>
    <fill>
      <patternFill patternType="solid">
        <fgColor theme="0"/>
        <bgColor indexed="64"/>
      </patternFill>
    </fill>
    <fill>
      <patternFill patternType="solid">
        <fgColor rgb="FFFF0000"/>
        <bgColor indexed="64"/>
      </patternFill>
    </fill>
    <fill>
      <patternFill patternType="solid">
        <fgColor rgb="FF00B050"/>
        <bgColor indexed="64"/>
      </patternFill>
    </fill>
    <fill>
      <patternFill patternType="solid">
        <fgColor theme="0" tint="-0.499984740745262"/>
        <bgColor indexed="64"/>
      </patternFill>
    </fill>
    <fill>
      <patternFill patternType="solid">
        <fgColor theme="1"/>
        <bgColor indexed="64"/>
      </patternFill>
    </fill>
    <fill>
      <patternFill patternType="solid">
        <fgColor rgb="FF0070C0"/>
        <bgColor indexed="64"/>
      </patternFill>
    </fill>
    <fill>
      <patternFill patternType="solid">
        <fgColor theme="3" tint="0.39997558519241921"/>
        <bgColor indexed="64"/>
      </patternFill>
    </fill>
    <fill>
      <patternFill patternType="solid">
        <fgColor theme="4" tint="0.79998168889431442"/>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rgb="FFC00000"/>
        <bgColor indexed="64"/>
      </patternFill>
    </fill>
    <fill>
      <patternFill patternType="solid">
        <fgColor theme="9" tint="0.79998168889431442"/>
        <bgColor indexed="64"/>
      </patternFill>
    </fill>
    <fill>
      <patternFill patternType="solid">
        <fgColor rgb="FFFFFFFF"/>
        <bgColor indexed="64"/>
      </patternFill>
    </fill>
    <fill>
      <patternFill patternType="solid">
        <fgColor rgb="FFF5F5F5"/>
        <bgColor indexed="64"/>
      </patternFill>
    </fill>
    <fill>
      <patternFill patternType="solid">
        <fgColor rgb="FFFF6632"/>
        <bgColor indexed="64"/>
      </patternFill>
    </fill>
    <fill>
      <patternFill patternType="solid">
        <fgColor theme="3" tint="-0.249977111117893"/>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theme="8" tint="-0.499984740745262"/>
        <bgColor indexed="64"/>
      </patternFill>
    </fill>
    <fill>
      <patternFill patternType="solid">
        <fgColor rgb="FFFFFF00"/>
        <bgColor indexed="64"/>
      </patternFill>
    </fill>
    <fill>
      <patternFill patternType="solid">
        <fgColor theme="5" tint="-0.249977111117893"/>
        <bgColor indexed="64"/>
      </patternFill>
    </fill>
    <fill>
      <patternFill patternType="solid">
        <fgColor theme="7" tint="-0.249977111117893"/>
        <bgColor indexed="64"/>
      </patternFill>
    </fill>
    <fill>
      <patternFill patternType="solid">
        <fgColor theme="5" tint="0.39997558519241921"/>
        <bgColor indexed="64"/>
      </patternFill>
    </fill>
    <fill>
      <patternFill patternType="solid">
        <fgColor rgb="FFE2CFF1"/>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9" tint="-0.499984740745262"/>
        <bgColor indexed="64"/>
      </patternFill>
    </fill>
    <fill>
      <patternFill patternType="solid">
        <fgColor rgb="FFB7B7FF"/>
        <bgColor indexed="64"/>
      </patternFill>
    </fill>
    <fill>
      <patternFill patternType="solid">
        <fgColor rgb="FFE9BAFC"/>
        <bgColor indexed="64"/>
      </patternFill>
    </fill>
  </fills>
  <borders count="107">
    <border>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thin">
        <color indexed="64"/>
      </left>
      <right/>
      <top/>
      <bottom style="thin">
        <color indexed="64"/>
      </bottom>
      <diagonal/>
    </border>
    <border>
      <left style="thin">
        <color indexed="64"/>
      </left>
      <right/>
      <top style="thin">
        <color auto="1"/>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right style="thick">
        <color indexed="64"/>
      </right>
      <top style="medium">
        <color indexed="64"/>
      </top>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style="thin">
        <color indexed="64"/>
      </left>
      <right style="thick">
        <color indexed="64"/>
      </right>
      <top/>
      <bottom/>
      <diagonal/>
    </border>
    <border>
      <left style="thick">
        <color indexed="64"/>
      </left>
      <right/>
      <top style="medium">
        <color indexed="64"/>
      </top>
      <bottom/>
      <diagonal/>
    </border>
    <border>
      <left style="thin">
        <color rgb="FFDCDCDC"/>
      </left>
      <right style="thin">
        <color rgb="FFDCDCDC"/>
      </right>
      <top style="thin">
        <color rgb="FFDCDCDC"/>
      </top>
      <bottom style="thin">
        <color rgb="FFDCDCDC"/>
      </bottom>
      <diagonal/>
    </border>
    <border>
      <left style="thin">
        <color rgb="FFDCDCDC"/>
      </left>
      <right style="thin">
        <color rgb="FFDCDCDC"/>
      </right>
      <top/>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auto="1"/>
      </top>
      <bottom style="thin">
        <color indexed="64"/>
      </bottom>
      <diagonal/>
    </border>
    <border>
      <left style="medium">
        <color indexed="64"/>
      </left>
      <right/>
      <top style="thin">
        <color indexed="64"/>
      </top>
      <bottom/>
      <diagonal/>
    </border>
    <border>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medium">
        <color indexed="64"/>
      </right>
      <top style="thin">
        <color auto="1"/>
      </top>
      <bottom style="thin">
        <color indexed="64"/>
      </bottom>
      <diagonal/>
    </border>
    <border>
      <left style="medium">
        <color indexed="64"/>
      </left>
      <right/>
      <top style="thin">
        <color indexed="64"/>
      </top>
      <bottom/>
      <diagonal/>
    </border>
    <border>
      <left style="thin">
        <color indexed="64"/>
      </left>
      <right style="medium">
        <color indexed="64"/>
      </right>
      <top style="thin">
        <color auto="1"/>
      </top>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auto="1"/>
      </top>
      <bottom style="thin">
        <color indexed="64"/>
      </bottom>
      <diagonal/>
    </border>
    <border>
      <left/>
      <right style="thin">
        <color indexed="64"/>
      </right>
      <top style="thin">
        <color indexed="64"/>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right style="thin">
        <color indexed="64"/>
      </right>
      <top/>
      <bottom/>
      <diagonal/>
    </border>
    <border>
      <left/>
      <right style="thin">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top/>
      <bottom style="thin">
        <color indexed="64"/>
      </bottom>
      <diagonal/>
    </border>
    <border>
      <left style="medium">
        <color indexed="64"/>
      </left>
      <right style="thin">
        <color indexed="64"/>
      </right>
      <top/>
      <bottom/>
      <diagonal/>
    </border>
    <border>
      <left style="medium">
        <color indexed="64"/>
      </left>
      <right/>
      <top style="thin">
        <color indexed="64"/>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medium">
        <color indexed="64"/>
      </right>
      <top style="thin">
        <color auto="1"/>
      </top>
      <bottom style="thin">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s>
  <cellStyleXfs count="5449">
    <xf numFmtId="0" fontId="0" fillId="0" borderId="0"/>
    <xf numFmtId="0" fontId="18" fillId="0" borderId="0"/>
    <xf numFmtId="0" fontId="25" fillId="0" borderId="0" applyNumberFormat="0" applyFill="0" applyBorder="0" applyAlignment="0" applyProtection="0">
      <alignment vertical="top"/>
      <protection locked="0"/>
    </xf>
    <xf numFmtId="0" fontId="18" fillId="0" borderId="0"/>
    <xf numFmtId="0" fontId="18" fillId="0" borderId="0"/>
    <xf numFmtId="0" fontId="18" fillId="0" borderId="0"/>
    <xf numFmtId="0" fontId="18" fillId="0" borderId="0"/>
    <xf numFmtId="0" fontId="18" fillId="0" borderId="0"/>
    <xf numFmtId="0" fontId="18" fillId="0" borderId="0"/>
    <xf numFmtId="0" fontId="17" fillId="0" borderId="0"/>
    <xf numFmtId="0" fontId="17" fillId="0" borderId="0"/>
    <xf numFmtId="0" fontId="17" fillId="0" borderId="0"/>
    <xf numFmtId="0" fontId="18" fillId="2" borderId="0">
      <alignment vertical="top" wrapText="1"/>
    </xf>
    <xf numFmtId="0" fontId="18" fillId="2" borderId="0">
      <alignment vertical="top" wrapText="1"/>
    </xf>
    <xf numFmtId="0" fontId="18" fillId="2" borderId="0">
      <alignment vertical="top" wrapText="1"/>
    </xf>
    <xf numFmtId="0" fontId="18" fillId="2" borderId="0">
      <alignment vertical="top" wrapText="1"/>
    </xf>
    <xf numFmtId="0" fontId="18" fillId="2" borderId="0">
      <alignment vertical="top" wrapText="1"/>
    </xf>
    <xf numFmtId="0" fontId="18" fillId="2" borderId="0">
      <alignment vertical="top" wrapText="1"/>
    </xf>
    <xf numFmtId="0" fontId="16" fillId="0" borderId="0"/>
    <xf numFmtId="0" fontId="16" fillId="0" borderId="0"/>
    <xf numFmtId="0" fontId="16" fillId="0" borderId="0"/>
    <xf numFmtId="0" fontId="27" fillId="10" borderId="0" applyNumberFormat="0" applyBorder="0" applyAlignment="0" applyProtection="0"/>
    <xf numFmtId="0" fontId="27" fillId="11" borderId="0" applyNumberFormat="0" applyBorder="0" applyAlignment="0" applyProtection="0"/>
    <xf numFmtId="0" fontId="27" fillId="13" borderId="0" applyNumberFormat="0" applyBorder="0" applyAlignment="0" applyProtection="0"/>
    <xf numFmtId="0" fontId="26" fillId="12" borderId="0" applyNumberFormat="0" applyBorder="0" applyAlignment="0" applyProtection="0"/>
    <xf numFmtId="0" fontId="26" fillId="9" borderId="0" applyNumberFormat="0" applyBorder="0" applyAlignment="0" applyProtection="0"/>
    <xf numFmtId="0" fontId="26" fillId="6" borderId="0" applyNumberFormat="0" applyBorder="0" applyAlignment="0" applyProtection="0"/>
    <xf numFmtId="0" fontId="26" fillId="11" borderId="0" applyNumberFormat="0" applyBorder="0" applyAlignment="0" applyProtection="0"/>
    <xf numFmtId="0" fontId="26" fillId="10" borderId="0" applyNumberFormat="0" applyBorder="0" applyAlignment="0" applyProtection="0"/>
    <xf numFmtId="0" fontId="26" fillId="5" borderId="0" applyNumberFormat="0" applyBorder="0" applyAlignment="0" applyProtection="0"/>
    <xf numFmtId="0" fontId="26" fillId="4" borderId="0" applyNumberFormat="0" applyBorder="0" applyAlignment="0" applyProtection="0"/>
    <xf numFmtId="0" fontId="26" fillId="3" borderId="0" applyNumberFormat="0" applyBorder="0" applyAlignment="0" applyProtection="0"/>
    <xf numFmtId="0" fontId="26" fillId="8" borderId="0" applyNumberFormat="0" applyBorder="0" applyAlignment="0" applyProtection="0"/>
    <xf numFmtId="0" fontId="26" fillId="6" borderId="0" applyNumberFormat="0" applyBorder="0" applyAlignment="0" applyProtection="0"/>
    <xf numFmtId="0" fontId="26" fillId="9" borderId="0" applyNumberFormat="0" applyBorder="0" applyAlignment="0" applyProtection="0"/>
    <xf numFmtId="0" fontId="26" fillId="7" borderId="0" applyNumberFormat="0" applyBorder="0" applyAlignment="0" applyProtection="0"/>
    <xf numFmtId="0" fontId="27" fillId="14" borderId="0" applyNumberFormat="0" applyBorder="0" applyAlignment="0" applyProtection="0"/>
    <xf numFmtId="0" fontId="27" fillId="15" borderId="0" applyNumberFormat="0" applyBorder="0" applyAlignment="0" applyProtection="0"/>
    <xf numFmtId="0" fontId="27" fillId="16" borderId="0" applyNumberFormat="0" applyBorder="0" applyAlignment="0" applyProtection="0"/>
    <xf numFmtId="0" fontId="27" fillId="17" borderId="0" applyNumberFormat="0" applyBorder="0" applyAlignment="0" applyProtection="0"/>
    <xf numFmtId="0" fontId="27" fillId="18" borderId="0" applyNumberFormat="0" applyBorder="0" applyAlignment="0" applyProtection="0"/>
    <xf numFmtId="0" fontId="27" fillId="19" borderId="0" applyNumberFormat="0" applyBorder="0" applyAlignment="0" applyProtection="0"/>
    <xf numFmtId="0" fontId="27" fillId="14" borderId="0" applyNumberFormat="0" applyBorder="0" applyAlignment="0" applyProtection="0"/>
    <xf numFmtId="0" fontId="27" fillId="15" borderId="0" applyNumberFormat="0" applyBorder="0" applyAlignment="0" applyProtection="0"/>
    <xf numFmtId="0" fontId="27" fillId="20" borderId="0" applyNumberFormat="0" applyBorder="0" applyAlignment="0" applyProtection="0"/>
    <xf numFmtId="0" fontId="28" fillId="0" borderId="0" applyNumberFormat="0" applyFill="0" applyBorder="0" applyAlignment="0" applyProtection="0"/>
    <xf numFmtId="0" fontId="29" fillId="21" borderId="14" applyNumberFormat="0" applyAlignment="0" applyProtection="0"/>
    <xf numFmtId="0" fontId="30" fillId="0" borderId="15" applyNumberFormat="0" applyFill="0" applyAlignment="0" applyProtection="0"/>
    <xf numFmtId="0" fontId="18" fillId="22" borderId="16" applyNumberFormat="0" applyFont="0" applyAlignment="0" applyProtection="0"/>
    <xf numFmtId="0" fontId="31" fillId="8" borderId="14" applyNumberFormat="0" applyAlignment="0" applyProtection="0"/>
    <xf numFmtId="0" fontId="32" fillId="4" borderId="0" applyNumberFormat="0" applyBorder="0" applyAlignment="0" applyProtection="0"/>
    <xf numFmtId="0" fontId="33" fillId="23" borderId="0" applyNumberFormat="0" applyBorder="0" applyAlignment="0" applyProtection="0"/>
    <xf numFmtId="0" fontId="34" fillId="5" borderId="0" applyNumberFormat="0" applyBorder="0" applyAlignment="0" applyProtection="0"/>
    <xf numFmtId="0" fontId="35" fillId="21" borderId="17" applyNumberFormat="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8" fillId="0" borderId="18" applyNumberFormat="0" applyFill="0" applyAlignment="0" applyProtection="0"/>
    <xf numFmtId="0" fontId="39" fillId="0" borderId="19" applyNumberFormat="0" applyFill="0" applyAlignment="0" applyProtection="0"/>
    <xf numFmtId="0" fontId="40" fillId="0" borderId="20" applyNumberFormat="0" applyFill="0" applyAlignment="0" applyProtection="0"/>
    <xf numFmtId="0" fontId="40" fillId="0" borderId="0" applyNumberFormat="0" applyFill="0" applyBorder="0" applyAlignment="0" applyProtection="0"/>
    <xf numFmtId="0" fontId="41" fillId="0" borderId="21" applyNumberFormat="0" applyFill="0" applyAlignment="0" applyProtection="0"/>
    <xf numFmtId="0" fontId="42" fillId="24" borderId="22" applyNumberFormat="0" applyAlignment="0" applyProtection="0"/>
    <xf numFmtId="0" fontId="15"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9" fontId="18"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9" fillId="0" borderId="0"/>
    <xf numFmtId="0" fontId="8" fillId="0" borderId="0"/>
    <xf numFmtId="0" fontId="8" fillId="0" borderId="0"/>
    <xf numFmtId="0" fontId="8" fillId="0" borderId="0"/>
    <xf numFmtId="0" fontId="7" fillId="0" borderId="0"/>
    <xf numFmtId="0" fontId="6" fillId="0" borderId="0"/>
    <xf numFmtId="0" fontId="5" fillId="0" borderId="0"/>
    <xf numFmtId="0" fontId="18" fillId="0" borderId="0"/>
    <xf numFmtId="0" fontId="43" fillId="0" borderId="0"/>
    <xf numFmtId="0" fontId="46" fillId="0" borderId="0" applyNumberFormat="0" applyFill="0" applyBorder="0" applyAlignment="0" applyProtection="0"/>
    <xf numFmtId="0" fontId="4" fillId="0" borderId="0"/>
    <xf numFmtId="0" fontId="1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9" fillId="21" borderId="14" applyNumberFormat="0" applyAlignment="0" applyProtection="0"/>
    <xf numFmtId="0" fontId="29" fillId="21" borderId="14" applyNumberFormat="0" applyAlignment="0" applyProtection="0"/>
    <xf numFmtId="0" fontId="18" fillId="22" borderId="16" applyNumberFormat="0" applyFont="0" applyAlignment="0" applyProtection="0"/>
    <xf numFmtId="0" fontId="18" fillId="22" borderId="16" applyNumberFormat="0" applyFont="0" applyAlignment="0" applyProtection="0"/>
    <xf numFmtId="0" fontId="31" fillId="8" borderId="14" applyNumberFormat="0" applyAlignment="0" applyProtection="0"/>
    <xf numFmtId="0" fontId="31" fillId="8" borderId="14" applyNumberFormat="0" applyAlignment="0" applyProtection="0"/>
    <xf numFmtId="0" fontId="35" fillId="21" borderId="17" applyNumberFormat="0" applyAlignment="0" applyProtection="0"/>
    <xf numFmtId="0" fontId="35" fillId="21" borderId="17" applyNumberFormat="0" applyAlignment="0" applyProtection="0"/>
    <xf numFmtId="0" fontId="41" fillId="0" borderId="21" applyNumberFormat="0" applyFill="0" applyAlignment="0" applyProtection="0"/>
    <xf numFmtId="0" fontId="41" fillId="0" borderId="21" applyNumberFormat="0" applyFill="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9" fontId="54" fillId="0" borderId="0" applyFont="0" applyFill="0" applyBorder="0" applyAlignment="0" applyProtection="0"/>
    <xf numFmtId="164" fontId="72" fillId="0" borderId="0" applyFont="0" applyFill="0" applyBorder="0" applyAlignment="0" applyProtection="0"/>
    <xf numFmtId="0" fontId="2" fillId="0" borderId="0"/>
    <xf numFmtId="0" fontId="18" fillId="0" borderId="0" applyNumberFormat="0" applyFont="0" applyFill="0" applyBorder="0" applyAlignment="0" applyProtection="0"/>
    <xf numFmtId="0" fontId="2" fillId="0" borderId="0"/>
    <xf numFmtId="0" fontId="18" fillId="0" borderId="0"/>
    <xf numFmtId="0" fontId="2" fillId="0" borderId="0"/>
    <xf numFmtId="0" fontId="2" fillId="0" borderId="0"/>
    <xf numFmtId="0" fontId="2" fillId="0" borderId="0"/>
    <xf numFmtId="0" fontId="2" fillId="0" borderId="0"/>
    <xf numFmtId="0" fontId="2" fillId="0" borderId="0"/>
    <xf numFmtId="0" fontId="2" fillId="0" borderId="0"/>
    <xf numFmtId="0" fontId="29" fillId="21" borderId="61" applyNumberFormat="0" applyAlignment="0" applyProtection="0"/>
    <xf numFmtId="0" fontId="18" fillId="22" borderId="62" applyNumberFormat="0" applyFont="0" applyAlignment="0" applyProtection="0"/>
    <xf numFmtId="0" fontId="31" fillId="8" borderId="61" applyNumberFormat="0" applyAlignment="0" applyProtection="0"/>
    <xf numFmtId="0" fontId="35" fillId="21" borderId="63" applyNumberFormat="0" applyAlignment="0" applyProtection="0"/>
    <xf numFmtId="0" fontId="41" fillId="0" borderId="64" applyNumberFormat="0" applyFill="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8" fillId="0" borderId="0"/>
    <xf numFmtId="0" fontId="25" fillId="0" borderId="0" applyNumberFormat="0" applyFill="0" applyBorder="0" applyAlignment="0" applyProtection="0">
      <alignment vertical="top"/>
      <protection locked="0"/>
    </xf>
    <xf numFmtId="0" fontId="2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8" fillId="0" borderId="0"/>
    <xf numFmtId="0" fontId="7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6"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9" fillId="21" borderId="61" applyNumberFormat="0" applyAlignment="0" applyProtection="0"/>
    <xf numFmtId="0" fontId="29" fillId="21" borderId="61" applyNumberFormat="0" applyAlignment="0" applyProtection="0"/>
    <xf numFmtId="0" fontId="18" fillId="22" borderId="62" applyNumberFormat="0" applyFont="0" applyAlignment="0" applyProtection="0"/>
    <xf numFmtId="0" fontId="18" fillId="22" borderId="62" applyNumberFormat="0" applyFont="0" applyAlignment="0" applyProtection="0"/>
    <xf numFmtId="0" fontId="31" fillId="8" borderId="61" applyNumberFormat="0" applyAlignment="0" applyProtection="0"/>
    <xf numFmtId="0" fontId="31" fillId="8" borderId="61" applyNumberFormat="0" applyAlignment="0" applyProtection="0"/>
    <xf numFmtId="0" fontId="35" fillId="21" borderId="63" applyNumberFormat="0" applyAlignment="0" applyProtection="0"/>
    <xf numFmtId="0" fontId="35" fillId="21" borderId="63" applyNumberFormat="0" applyAlignment="0" applyProtection="0"/>
    <xf numFmtId="0" fontId="41" fillId="0" borderId="64" applyNumberFormat="0" applyFill="0" applyAlignment="0" applyProtection="0"/>
    <xf numFmtId="0" fontId="41" fillId="0" borderId="64" applyNumberFormat="0" applyFill="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64" fontId="18" fillId="0" borderId="0" applyFont="0" applyFill="0" applyBorder="0" applyAlignment="0" applyProtection="0"/>
    <xf numFmtId="0" fontId="1" fillId="0" borderId="0"/>
    <xf numFmtId="164" fontId="18" fillId="0" borderId="0" applyFont="0" applyFill="0" applyBorder="0" applyAlignment="0" applyProtection="0"/>
    <xf numFmtId="0" fontId="1" fillId="0" borderId="0"/>
    <xf numFmtId="9" fontId="1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cellStyleXfs>
  <cellXfs count="450">
    <xf numFmtId="0" fontId="0" fillId="0" borderId="0" xfId="0"/>
    <xf numFmtId="0" fontId="0" fillId="32" borderId="0" xfId="0" applyFill="1" applyAlignment="1" applyProtection="1">
      <alignment horizontal="left"/>
    </xf>
    <xf numFmtId="0" fontId="44" fillId="47" borderId="25" xfId="0" applyFont="1" applyFill="1" applyBorder="1" applyAlignment="1">
      <alignment horizontal="center" wrapText="1"/>
    </xf>
    <xf numFmtId="0" fontId="18" fillId="0" borderId="0" xfId="0" applyFont="1"/>
    <xf numFmtId="0" fontId="18" fillId="0" borderId="0" xfId="0" applyFont="1" applyAlignment="1">
      <alignment vertical="center"/>
    </xf>
    <xf numFmtId="0" fontId="0" fillId="0" borderId="0" xfId="0" applyAlignment="1">
      <alignment horizontal="left" vertical="top"/>
    </xf>
    <xf numFmtId="0" fontId="0" fillId="0" borderId="0" xfId="0" applyAlignment="1">
      <alignment horizontal="left" vertical="top" wrapText="1"/>
    </xf>
    <xf numFmtId="0" fontId="18" fillId="0" borderId="0" xfId="730" applyFont="1" applyProtection="1"/>
    <xf numFmtId="0" fontId="18" fillId="0" borderId="0" xfId="730" applyFont="1" applyProtection="1">
      <protection locked="0"/>
    </xf>
    <xf numFmtId="0" fontId="18" fillId="0" borderId="2" xfId="730" applyFont="1" applyBorder="1" applyProtection="1">
      <protection locked="0"/>
    </xf>
    <xf numFmtId="0" fontId="47" fillId="34" borderId="40" xfId="3" applyFont="1" applyFill="1" applyBorder="1" applyAlignment="1">
      <alignment horizontal="left" vertical="center" wrapText="1" indent="1"/>
    </xf>
    <xf numFmtId="0" fontId="0" fillId="0" borderId="0" xfId="0" applyAlignment="1">
      <alignment vertical="center"/>
    </xf>
    <xf numFmtId="0" fontId="57" fillId="27" borderId="5" xfId="0" applyFont="1" applyFill="1" applyBorder="1" applyAlignment="1">
      <alignment horizontal="left" vertical="center" wrapText="1"/>
    </xf>
    <xf numFmtId="0" fontId="53" fillId="39" borderId="39" xfId="727" applyFont="1" applyFill="1" applyBorder="1" applyAlignment="1">
      <alignment horizontal="center" vertical="center" wrapText="1"/>
    </xf>
    <xf numFmtId="0" fontId="53" fillId="39" borderId="38" xfId="727" applyFont="1" applyFill="1" applyBorder="1" applyAlignment="1">
      <alignment horizontal="center" vertical="center" wrapText="1"/>
    </xf>
    <xf numFmtId="0" fontId="0" fillId="0" borderId="0" xfId="0" applyAlignment="1"/>
    <xf numFmtId="0" fontId="0" fillId="0" borderId="0" xfId="0" applyAlignment="1">
      <alignment horizontal="left"/>
    </xf>
    <xf numFmtId="0" fontId="0" fillId="32" borderId="24" xfId="0" applyFill="1" applyBorder="1" applyAlignment="1"/>
    <xf numFmtId="0" fontId="0" fillId="32" borderId="25" xfId="0" applyFill="1" applyBorder="1" applyAlignment="1"/>
    <xf numFmtId="0" fontId="48" fillId="0" borderId="0" xfId="0" applyFont="1" applyAlignment="1"/>
    <xf numFmtId="0" fontId="0" fillId="32" borderId="0" xfId="0" applyFill="1" applyBorder="1" applyAlignment="1"/>
    <xf numFmtId="0" fontId="0" fillId="0" borderId="0" xfId="0" applyAlignment="1" applyProtection="1">
      <alignment horizontal="left"/>
    </xf>
    <xf numFmtId="0" fontId="0" fillId="0" borderId="0" xfId="0" applyAlignment="1" applyProtection="1">
      <alignment horizontal="left"/>
      <protection locked="0"/>
    </xf>
    <xf numFmtId="0" fontId="24" fillId="0" borderId="0" xfId="3" applyNumberFormat="1" applyFont="1" applyFill="1" applyAlignment="1" applyProtection="1">
      <alignment horizontal="left"/>
    </xf>
    <xf numFmtId="0" fontId="24" fillId="0" borderId="0" xfId="3" applyNumberFormat="1" applyFont="1" applyFill="1" applyAlignment="1" applyProtection="1">
      <alignment horizontal="left"/>
      <protection locked="0"/>
    </xf>
    <xf numFmtId="0" fontId="0" fillId="0" borderId="0" xfId="0" applyBorder="1" applyAlignment="1">
      <alignment horizontal="left"/>
    </xf>
    <xf numFmtId="0" fontId="0" fillId="0" borderId="0" xfId="0" applyAlignment="1">
      <alignment horizontal="left" wrapText="1"/>
    </xf>
    <xf numFmtId="0" fontId="49" fillId="29" borderId="30" xfId="0" applyFont="1" applyFill="1" applyBorder="1" applyAlignment="1">
      <alignment horizontal="left" vertical="center" wrapText="1"/>
    </xf>
    <xf numFmtId="0" fontId="49" fillId="29" borderId="0" xfId="0" applyFont="1" applyFill="1" applyBorder="1" applyAlignment="1">
      <alignment horizontal="left" vertical="center" wrapText="1"/>
    </xf>
    <xf numFmtId="0" fontId="0" fillId="35" borderId="0" xfId="0" applyFill="1" applyAlignment="1" applyProtection="1">
      <alignment horizontal="left"/>
      <protection locked="0"/>
    </xf>
    <xf numFmtId="0" fontId="24" fillId="35" borderId="0" xfId="3" applyNumberFormat="1" applyFont="1" applyFill="1" applyAlignment="1" applyProtection="1">
      <alignment horizontal="left"/>
      <protection locked="0"/>
    </xf>
    <xf numFmtId="0" fontId="0" fillId="35" borderId="0" xfId="0" applyFill="1" applyAlignment="1">
      <alignment horizontal="left"/>
    </xf>
    <xf numFmtId="0" fontId="47" fillId="35" borderId="2" xfId="3" applyFont="1" applyFill="1" applyBorder="1" applyAlignment="1">
      <alignment horizontal="center" vertical="center" wrapText="1"/>
    </xf>
    <xf numFmtId="0" fontId="0" fillId="29" borderId="0" xfId="0" applyFill="1" applyBorder="1" applyAlignment="1"/>
    <xf numFmtId="0" fontId="0" fillId="33" borderId="11" xfId="0" applyFill="1" applyBorder="1" applyAlignment="1">
      <alignment horizontal="left"/>
    </xf>
    <xf numFmtId="0" fontId="0" fillId="33" borderId="12" xfId="0" applyFill="1" applyBorder="1" applyAlignment="1">
      <alignment horizontal="left"/>
    </xf>
    <xf numFmtId="0" fontId="0" fillId="33" borderId="13" xfId="0" applyFill="1" applyBorder="1" applyAlignment="1">
      <alignment horizontal="left"/>
    </xf>
    <xf numFmtId="0" fontId="18" fillId="38" borderId="23" xfId="1" applyFont="1" applyFill="1" applyBorder="1" applyAlignment="1" applyProtection="1">
      <alignment horizontal="left"/>
      <protection locked="0"/>
    </xf>
    <xf numFmtId="0" fontId="18" fillId="38" borderId="23" xfId="1" applyFont="1" applyFill="1" applyBorder="1" applyAlignment="1" applyProtection="1">
      <alignment horizontal="left" wrapText="1"/>
      <protection locked="0"/>
    </xf>
    <xf numFmtId="0" fontId="18" fillId="38" borderId="41" xfId="1" applyFont="1" applyFill="1" applyBorder="1" applyAlignment="1" applyProtection="1">
      <alignment horizontal="left"/>
      <protection locked="0"/>
    </xf>
    <xf numFmtId="0" fontId="18" fillId="37" borderId="33" xfId="1" applyFont="1" applyFill="1" applyBorder="1" applyAlignment="1" applyProtection="1">
      <alignment horizontal="center"/>
      <protection locked="0"/>
    </xf>
    <xf numFmtId="0" fontId="18" fillId="37" borderId="33" xfId="1" applyFill="1" applyBorder="1" applyAlignment="1" applyProtection="1">
      <alignment horizontal="center"/>
      <protection locked="0"/>
    </xf>
    <xf numFmtId="0" fontId="0" fillId="37" borderId="33" xfId="0" applyFill="1" applyBorder="1" applyAlignment="1">
      <alignment horizontal="left"/>
    </xf>
    <xf numFmtId="0" fontId="0" fillId="37" borderId="34" xfId="0" applyFill="1" applyBorder="1" applyAlignment="1">
      <alignment horizontal="left"/>
    </xf>
    <xf numFmtId="0" fontId="18" fillId="35" borderId="44" xfId="1" applyFont="1" applyFill="1" applyBorder="1" applyAlignment="1" applyProtection="1">
      <alignment horizontal="center"/>
      <protection locked="0"/>
    </xf>
    <xf numFmtId="0" fontId="18" fillId="35" borderId="44" xfId="1" applyFill="1" applyBorder="1" applyAlignment="1" applyProtection="1">
      <alignment horizontal="center"/>
      <protection locked="0"/>
    </xf>
    <xf numFmtId="0" fontId="0" fillId="35" borderId="44" xfId="0" applyFill="1" applyBorder="1" applyAlignment="1">
      <alignment horizontal="left"/>
    </xf>
    <xf numFmtId="0" fontId="0" fillId="35" borderId="45" xfId="0" applyFill="1" applyBorder="1" applyAlignment="1">
      <alignment horizontal="left"/>
    </xf>
    <xf numFmtId="0" fontId="47" fillId="35" borderId="46" xfId="3" applyFont="1" applyFill="1" applyBorder="1" applyAlignment="1">
      <alignment horizontal="center" vertical="center" wrapText="1"/>
    </xf>
    <xf numFmtId="0" fontId="49" fillId="29" borderId="25" xfId="0" applyFont="1" applyFill="1" applyBorder="1" applyAlignment="1">
      <alignment vertical="center" wrapText="1"/>
    </xf>
    <xf numFmtId="0" fontId="49" fillId="29" borderId="0" xfId="0" applyFont="1" applyFill="1" applyBorder="1" applyAlignment="1">
      <alignment vertical="center" wrapText="1"/>
    </xf>
    <xf numFmtId="0" fontId="56" fillId="29" borderId="30" xfId="0" applyFont="1" applyFill="1" applyBorder="1" applyAlignment="1"/>
    <xf numFmtId="0" fontId="56" fillId="29" borderId="0" xfId="0" applyFont="1" applyFill="1" applyBorder="1" applyAlignment="1"/>
    <xf numFmtId="0" fontId="47" fillId="37" borderId="46" xfId="3" applyFont="1" applyFill="1" applyBorder="1" applyAlignment="1">
      <alignment horizontal="center" vertical="center" wrapText="1"/>
    </xf>
    <xf numFmtId="0" fontId="47" fillId="39" borderId="0" xfId="3" applyFont="1" applyFill="1" applyBorder="1" applyAlignment="1">
      <alignment horizontal="center" vertical="center" wrapText="1"/>
    </xf>
    <xf numFmtId="0" fontId="18" fillId="39" borderId="33" xfId="1" applyFont="1" applyFill="1" applyBorder="1" applyAlignment="1" applyProtection="1">
      <alignment horizontal="center"/>
      <protection locked="0"/>
    </xf>
    <xf numFmtId="0" fontId="0" fillId="33" borderId="25" xfId="0" applyFill="1" applyBorder="1" applyAlignment="1">
      <alignment horizontal="left" vertical="top"/>
    </xf>
    <xf numFmtId="0" fontId="0" fillId="33" borderId="0" xfId="0" applyFill="1" applyBorder="1" applyAlignment="1">
      <alignment horizontal="left"/>
    </xf>
    <xf numFmtId="0" fontId="0" fillId="32" borderId="33" xfId="0" applyFill="1" applyBorder="1" applyAlignment="1"/>
    <xf numFmtId="0" fontId="0" fillId="29" borderId="33" xfId="0" applyFill="1" applyBorder="1" applyAlignment="1"/>
    <xf numFmtId="0" fontId="47" fillId="37" borderId="2" xfId="3" applyFont="1" applyFill="1" applyBorder="1" applyAlignment="1">
      <alignment horizontal="center" vertical="center" wrapText="1"/>
    </xf>
    <xf numFmtId="0" fontId="47" fillId="34" borderId="42" xfId="3" applyFont="1" applyFill="1" applyBorder="1" applyAlignment="1">
      <alignment horizontal="left" vertical="center" indent="1"/>
    </xf>
    <xf numFmtId="0" fontId="0" fillId="35" borderId="0" xfId="0" applyFill="1" applyBorder="1" applyAlignment="1">
      <alignment vertical="center"/>
    </xf>
    <xf numFmtId="165" fontId="63" fillId="41" borderId="48" xfId="0" applyNumberFormat="1" applyFont="1" applyFill="1" applyBorder="1" applyAlignment="1">
      <alignment horizontal="left" vertical="center"/>
    </xf>
    <xf numFmtId="0" fontId="66" fillId="0" borderId="0" xfId="0" applyFont="1" applyAlignment="1">
      <alignment vertical="center"/>
    </xf>
    <xf numFmtId="0" fontId="47" fillId="34" borderId="11" xfId="3" applyFont="1" applyFill="1" applyBorder="1" applyAlignment="1">
      <alignment vertical="center" wrapText="1"/>
    </xf>
    <xf numFmtId="0" fontId="64" fillId="42" borderId="48" xfId="1" applyFont="1" applyFill="1" applyBorder="1" applyAlignment="1">
      <alignment horizontal="left" vertical="center"/>
    </xf>
    <xf numFmtId="0" fontId="65" fillId="35" borderId="48" xfId="1" applyFont="1" applyFill="1" applyBorder="1" applyAlignment="1">
      <alignment horizontal="left" vertical="center"/>
    </xf>
    <xf numFmtId="0" fontId="18" fillId="0" borderId="0" xfId="1"/>
    <xf numFmtId="165" fontId="63" fillId="41" borderId="48" xfId="1" applyNumberFormat="1" applyFont="1" applyFill="1" applyBorder="1" applyAlignment="1">
      <alignment horizontal="left" vertical="center"/>
    </xf>
    <xf numFmtId="165" fontId="63" fillId="41" borderId="49" xfId="1" applyNumberFormat="1" applyFont="1" applyFill="1" applyBorder="1" applyAlignment="1">
      <alignment horizontal="left" vertical="center"/>
    </xf>
    <xf numFmtId="0" fontId="55" fillId="33" borderId="25" xfId="0" applyFont="1" applyFill="1" applyBorder="1" applyAlignment="1">
      <alignment horizontal="left" vertical="top"/>
    </xf>
    <xf numFmtId="0" fontId="55" fillId="33" borderId="24" xfId="0" applyFont="1" applyFill="1" applyBorder="1" applyAlignment="1">
      <alignment horizontal="right" vertical="top" indent="1"/>
    </xf>
    <xf numFmtId="0" fontId="0" fillId="33" borderId="51" xfId="0" applyFill="1" applyBorder="1" applyAlignment="1">
      <alignment horizontal="left" vertical="top"/>
    </xf>
    <xf numFmtId="0" fontId="0" fillId="33" borderId="53" xfId="0" applyFill="1" applyBorder="1" applyAlignment="1">
      <alignment horizontal="left"/>
    </xf>
    <xf numFmtId="0" fontId="68" fillId="32" borderId="32" xfId="0" applyFont="1" applyFill="1" applyBorder="1" applyAlignment="1"/>
    <xf numFmtId="0" fontId="0" fillId="38" borderId="1" xfId="0" applyFill="1" applyBorder="1" applyAlignment="1">
      <alignment horizontal="left"/>
    </xf>
    <xf numFmtId="0" fontId="0" fillId="38" borderId="4" xfId="0" applyFill="1" applyBorder="1" applyAlignment="1">
      <alignment horizontal="left"/>
    </xf>
    <xf numFmtId="0" fontId="0" fillId="38" borderId="9" xfId="0" applyFill="1" applyBorder="1" applyAlignment="1">
      <alignment horizontal="left"/>
    </xf>
    <xf numFmtId="0" fontId="47" fillId="37" borderId="45" xfId="3" applyFont="1" applyFill="1" applyBorder="1" applyAlignment="1">
      <alignment horizontal="center" vertical="center" wrapText="1"/>
    </xf>
    <xf numFmtId="0" fontId="18" fillId="39" borderId="34" xfId="1" applyFont="1" applyFill="1" applyBorder="1" applyAlignment="1" applyProtection="1">
      <alignment horizontal="center"/>
      <protection locked="0"/>
    </xf>
    <xf numFmtId="0" fontId="18" fillId="36" borderId="3" xfId="1" applyFill="1" applyBorder="1" applyAlignment="1" applyProtection="1">
      <alignment horizontal="left" vertical="center"/>
      <protection locked="0"/>
    </xf>
    <xf numFmtId="0" fontId="18" fillId="36" borderId="2" xfId="1" applyFill="1" applyBorder="1" applyAlignment="1" applyProtection="1">
      <alignment horizontal="left" vertical="center"/>
      <protection locked="0"/>
    </xf>
    <xf numFmtId="0" fontId="0" fillId="36" borderId="1" xfId="0" applyFill="1" applyBorder="1" applyAlignment="1">
      <alignment horizontal="left" vertical="center"/>
    </xf>
    <xf numFmtId="0" fontId="0" fillId="36" borderId="4" xfId="0" applyFill="1" applyBorder="1" applyAlignment="1">
      <alignment horizontal="left" vertical="center"/>
    </xf>
    <xf numFmtId="0" fontId="0" fillId="36" borderId="10" xfId="0" applyFill="1" applyBorder="1" applyAlignment="1">
      <alignment horizontal="left" vertical="center"/>
    </xf>
    <xf numFmtId="0" fontId="0" fillId="36" borderId="9" xfId="0" applyFill="1" applyBorder="1" applyAlignment="1">
      <alignment horizontal="left" vertical="center"/>
    </xf>
    <xf numFmtId="0" fontId="0" fillId="0" borderId="0" xfId="0" applyAlignment="1">
      <alignment horizontal="left" vertical="center"/>
    </xf>
    <xf numFmtId="0" fontId="18" fillId="36" borderId="40" xfId="1" applyFill="1" applyBorder="1" applyAlignment="1" applyProtection="1">
      <alignment horizontal="left" vertical="center"/>
      <protection locked="0"/>
    </xf>
    <xf numFmtId="0" fontId="18" fillId="36" borderId="23" xfId="1" applyFill="1" applyBorder="1" applyAlignment="1" applyProtection="1">
      <alignment horizontal="left" vertical="center"/>
      <protection locked="0"/>
    </xf>
    <xf numFmtId="0" fontId="18" fillId="36" borderId="35" xfId="1" applyFill="1" applyBorder="1" applyAlignment="1" applyProtection="1">
      <alignment horizontal="left" vertical="center"/>
      <protection locked="0"/>
    </xf>
    <xf numFmtId="0" fontId="18" fillId="36" borderId="2" xfId="1" applyFill="1" applyBorder="1" applyAlignment="1">
      <alignment horizontal="left" vertical="center"/>
    </xf>
    <xf numFmtId="0" fontId="18" fillId="36" borderId="36" xfId="1" applyFill="1" applyBorder="1" applyAlignment="1">
      <alignment horizontal="left" vertical="center"/>
    </xf>
    <xf numFmtId="0" fontId="18" fillId="36" borderId="8" xfId="1" applyFont="1" applyFill="1" applyBorder="1" applyAlignment="1" applyProtection="1">
      <alignment horizontal="left" vertical="center"/>
      <protection locked="0"/>
    </xf>
    <xf numFmtId="0" fontId="18" fillId="0" borderId="57" xfId="0" applyFont="1" applyBorder="1" applyAlignment="1">
      <alignment vertical="center" wrapText="1"/>
    </xf>
    <xf numFmtId="0" fontId="69" fillId="0" borderId="57" xfId="0" applyFont="1" applyBorder="1" applyAlignment="1">
      <alignment vertical="center" wrapText="1"/>
    </xf>
    <xf numFmtId="0" fontId="20" fillId="0" borderId="58" xfId="0" applyFont="1" applyBorder="1" applyAlignment="1">
      <alignment horizontal="center" vertical="center" wrapText="1"/>
    </xf>
    <xf numFmtId="0" fontId="20" fillId="0" borderId="59" xfId="0" applyFont="1" applyBorder="1" applyAlignment="1">
      <alignment horizontal="center" vertical="center" wrapText="1"/>
    </xf>
    <xf numFmtId="0" fontId="20" fillId="0" borderId="60" xfId="0" applyFont="1" applyBorder="1" applyAlignment="1">
      <alignment horizontal="center" vertical="center" wrapText="1"/>
    </xf>
    <xf numFmtId="0" fontId="18" fillId="33" borderId="25" xfId="730" applyFill="1" applyBorder="1" applyAlignment="1">
      <alignment horizontal="left" vertical="top"/>
    </xf>
    <xf numFmtId="0" fontId="55" fillId="33" borderId="24" xfId="730" applyFont="1" applyFill="1" applyBorder="1" applyAlignment="1">
      <alignment horizontal="right" vertical="top" indent="1"/>
    </xf>
    <xf numFmtId="0" fontId="55" fillId="33" borderId="25" xfId="730" applyFont="1" applyFill="1" applyBorder="1" applyAlignment="1">
      <alignment horizontal="left" vertical="top"/>
    </xf>
    <xf numFmtId="0" fontId="18" fillId="33" borderId="51" xfId="730" applyFill="1" applyBorder="1" applyAlignment="1">
      <alignment horizontal="left" vertical="top"/>
    </xf>
    <xf numFmtId="0" fontId="18" fillId="0" borderId="0" xfId="730" applyAlignment="1">
      <alignment horizontal="left" vertical="top"/>
    </xf>
    <xf numFmtId="0" fontId="49" fillId="29" borderId="0" xfId="730" applyFont="1" applyFill="1" applyBorder="1" applyAlignment="1">
      <alignment horizontal="left" vertical="center" wrapText="1"/>
    </xf>
    <xf numFmtId="0" fontId="18" fillId="33" borderId="52" xfId="730" applyFill="1" applyBorder="1" applyAlignment="1">
      <alignment horizontal="left" vertical="top"/>
    </xf>
    <xf numFmtId="0" fontId="18" fillId="0" borderId="0" xfId="730" applyBorder="1" applyAlignment="1">
      <alignment horizontal="left" vertical="top"/>
    </xf>
    <xf numFmtId="0" fontId="18" fillId="0" borderId="0" xfId="730" applyBorder="1"/>
    <xf numFmtId="0" fontId="19" fillId="0" borderId="0" xfId="730" applyFont="1" applyBorder="1"/>
    <xf numFmtId="0" fontId="70" fillId="29" borderId="0" xfId="730" applyFont="1" applyFill="1" applyBorder="1" applyAlignment="1">
      <alignment vertical="center" wrapText="1"/>
    </xf>
    <xf numFmtId="0" fontId="19" fillId="0" borderId="0" xfId="730" applyFont="1" applyBorder="1" applyAlignment="1">
      <alignment horizontal="left" vertical="top"/>
    </xf>
    <xf numFmtId="0" fontId="19" fillId="0" borderId="0" xfId="730" applyFont="1"/>
    <xf numFmtId="0" fontId="19" fillId="0" borderId="0" xfId="730" applyFont="1" applyAlignment="1">
      <alignment horizontal="left" vertical="top"/>
    </xf>
    <xf numFmtId="0" fontId="49" fillId="29" borderId="30" xfId="730" applyFont="1" applyFill="1" applyBorder="1" applyAlignment="1">
      <alignment horizontal="left" vertical="center" wrapText="1"/>
    </xf>
    <xf numFmtId="0" fontId="18" fillId="0" borderId="0" xfId="730"/>
    <xf numFmtId="0" fontId="18" fillId="33" borderId="11" xfId="730" applyFill="1" applyBorder="1" applyAlignment="1">
      <alignment horizontal="left"/>
    </xf>
    <xf numFmtId="0" fontId="18" fillId="33" borderId="12" xfId="730" applyFill="1" applyBorder="1" applyAlignment="1">
      <alignment horizontal="left"/>
    </xf>
    <xf numFmtId="0" fontId="18" fillId="33" borderId="13" xfId="730" applyFill="1" applyBorder="1" applyAlignment="1">
      <alignment horizontal="left"/>
    </xf>
    <xf numFmtId="0" fontId="18" fillId="33" borderId="0" xfId="730" applyFill="1" applyBorder="1" applyAlignment="1">
      <alignment horizontal="left"/>
    </xf>
    <xf numFmtId="0" fontId="18" fillId="33" borderId="53" xfId="730" applyFill="1" applyBorder="1" applyAlignment="1">
      <alignment horizontal="left"/>
    </xf>
    <xf numFmtId="0" fontId="18" fillId="0" borderId="0" xfId="730" applyAlignment="1">
      <alignment horizontal="left"/>
    </xf>
    <xf numFmtId="0" fontId="71" fillId="43" borderId="2" xfId="730" applyFont="1" applyFill="1" applyBorder="1" applyAlignment="1" applyProtection="1">
      <alignment horizontal="center" vertical="center"/>
      <protection locked="0"/>
    </xf>
    <xf numFmtId="0" fontId="25" fillId="0" borderId="2" xfId="2" quotePrefix="1" applyBorder="1" applyAlignment="1" applyProtection="1">
      <alignment horizontal="center"/>
      <protection locked="0"/>
    </xf>
    <xf numFmtId="0" fontId="18" fillId="0" borderId="2" xfId="730" applyFont="1" applyBorder="1" applyAlignment="1" applyProtection="1">
      <alignment horizontal="center"/>
      <protection locked="0"/>
    </xf>
    <xf numFmtId="0" fontId="18" fillId="36" borderId="2" xfId="1" applyFill="1" applyBorder="1" applyAlignment="1" applyProtection="1">
      <alignment horizontal="left" vertical="center" wrapText="1"/>
      <protection locked="0"/>
    </xf>
    <xf numFmtId="0" fontId="18" fillId="36" borderId="54" xfId="1" applyFill="1" applyBorder="1" applyAlignment="1" applyProtection="1">
      <alignment horizontal="left" vertical="center"/>
      <protection locked="0"/>
    </xf>
    <xf numFmtId="0" fontId="18" fillId="38" borderId="2" xfId="1" applyFill="1" applyBorder="1" applyAlignment="1" applyProtection="1">
      <alignment horizontal="left"/>
      <protection locked="0"/>
    </xf>
    <xf numFmtId="0" fontId="18" fillId="38" borderId="2" xfId="1" applyFont="1" applyFill="1" applyBorder="1" applyAlignment="1" applyProtection="1">
      <alignment horizontal="left" wrapText="1"/>
      <protection locked="0"/>
    </xf>
    <xf numFmtId="0" fontId="18" fillId="38" borderId="2" xfId="1" applyFont="1" applyFill="1" applyBorder="1" applyAlignment="1" applyProtection="1">
      <alignment horizontal="left"/>
      <protection locked="0"/>
    </xf>
    <xf numFmtId="0" fontId="18" fillId="38" borderId="50" xfId="1" applyFont="1" applyFill="1" applyBorder="1" applyAlignment="1" applyProtection="1">
      <alignment horizontal="left"/>
      <protection locked="0"/>
    </xf>
    <xf numFmtId="0" fontId="47" fillId="34" borderId="55" xfId="3" applyFont="1" applyFill="1" applyBorder="1" applyAlignment="1">
      <alignment horizontal="left" vertical="center" indent="1"/>
    </xf>
    <xf numFmtId="165" fontId="63" fillId="41" borderId="2" xfId="0" applyNumberFormat="1" applyFont="1" applyFill="1" applyBorder="1" applyAlignment="1">
      <alignment horizontal="left" vertical="center"/>
    </xf>
    <xf numFmtId="0" fontId="18" fillId="0" borderId="2" xfId="0" applyFont="1" applyBorder="1"/>
    <xf numFmtId="0" fontId="18" fillId="36" borderId="8" xfId="1" applyFont="1" applyFill="1" applyBorder="1" applyAlignment="1" applyProtection="1">
      <alignment horizontal="center" vertical="center"/>
      <protection locked="0"/>
    </xf>
    <xf numFmtId="0" fontId="24" fillId="40" borderId="5" xfId="727" applyFont="1" applyFill="1" applyBorder="1" applyAlignment="1">
      <alignment horizontal="center" vertical="center"/>
    </xf>
    <xf numFmtId="0" fontId="24" fillId="40" borderId="6" xfId="727" applyFont="1" applyFill="1" applyBorder="1" applyAlignment="1">
      <alignment horizontal="center" vertical="center"/>
    </xf>
    <xf numFmtId="0" fontId="24" fillId="40" borderId="2" xfId="727" applyFont="1" applyFill="1" applyBorder="1" applyAlignment="1">
      <alignment horizontal="center" vertical="center"/>
    </xf>
    <xf numFmtId="0" fontId="24" fillId="40" borderId="3" xfId="727" applyFont="1" applyFill="1" applyBorder="1" applyAlignment="1">
      <alignment horizontal="center" vertical="center"/>
    </xf>
    <xf numFmtId="20" fontId="0" fillId="33" borderId="12" xfId="0" applyNumberFormat="1" applyFill="1" applyBorder="1" applyAlignment="1">
      <alignment horizontal="left"/>
    </xf>
    <xf numFmtId="0" fontId="74" fillId="0" borderId="0" xfId="3424" applyFont="1" applyAlignment="1">
      <alignment vertical="center"/>
    </xf>
    <xf numFmtId="0" fontId="47" fillId="34" borderId="66" xfId="3" applyFont="1" applyFill="1" applyBorder="1" applyAlignment="1">
      <alignment horizontal="left" vertical="center" indent="1"/>
    </xf>
    <xf numFmtId="165" fontId="63" fillId="41" borderId="69" xfId="0" applyNumberFormat="1" applyFont="1" applyFill="1" applyBorder="1" applyAlignment="1">
      <alignment horizontal="left" vertical="center"/>
    </xf>
    <xf numFmtId="0" fontId="18" fillId="0" borderId="69" xfId="0" applyFont="1" applyBorder="1"/>
    <xf numFmtId="0" fontId="76" fillId="0" borderId="0" xfId="0" applyFont="1" applyAlignment="1">
      <alignment horizontal="left" vertical="center" indent="4"/>
    </xf>
    <xf numFmtId="0" fontId="77" fillId="0" borderId="0" xfId="0" applyFont="1" applyAlignment="1">
      <alignment horizontal="left" vertical="center" indent="4"/>
    </xf>
    <xf numFmtId="0" fontId="67" fillId="46" borderId="76" xfId="727" applyFont="1" applyFill="1" applyBorder="1" applyAlignment="1">
      <alignment horizontal="left" vertical="center" wrapText="1"/>
    </xf>
    <xf numFmtId="0" fontId="18" fillId="46" borderId="69" xfId="0" applyFont="1" applyFill="1" applyBorder="1"/>
    <xf numFmtId="165" fontId="63" fillId="46" borderId="69" xfId="0" applyNumberFormat="1" applyFont="1" applyFill="1" applyBorder="1" applyAlignment="1">
      <alignment horizontal="left" vertical="center"/>
    </xf>
    <xf numFmtId="0" fontId="0" fillId="0" borderId="69" xfId="0" applyBorder="1"/>
    <xf numFmtId="0" fontId="0" fillId="25" borderId="69" xfId="0" applyFill="1" applyBorder="1"/>
    <xf numFmtId="165" fontId="63" fillId="25" borderId="69" xfId="0" applyNumberFormat="1" applyFont="1" applyFill="1" applyBorder="1" applyAlignment="1">
      <alignment horizontal="left" vertical="center"/>
    </xf>
    <xf numFmtId="0" fontId="44" fillId="47" borderId="26" xfId="0" applyFont="1" applyFill="1" applyBorder="1" applyAlignment="1">
      <alignment horizontal="center" wrapText="1"/>
    </xf>
    <xf numFmtId="0" fontId="47" fillId="45" borderId="71" xfId="0" applyFont="1" applyFill="1" applyBorder="1" applyAlignment="1">
      <alignment horizontal="left" vertical="center" wrapText="1" indent="1"/>
    </xf>
    <xf numFmtId="0" fontId="47" fillId="45" borderId="68" xfId="0" applyFont="1" applyFill="1" applyBorder="1" applyAlignment="1">
      <alignment horizontal="left" vertical="center" wrapText="1" indent="1"/>
    </xf>
    <xf numFmtId="0" fontId="47" fillId="45" borderId="1" xfId="0" applyFont="1" applyFill="1" applyBorder="1" applyAlignment="1">
      <alignment horizontal="left" vertical="center" wrapText="1" indent="1"/>
    </xf>
    <xf numFmtId="0" fontId="47" fillId="30" borderId="75" xfId="0" applyFont="1" applyFill="1" applyBorder="1" applyAlignment="1">
      <alignment horizontal="left" vertical="center" wrapText="1" indent="1"/>
    </xf>
    <xf numFmtId="0" fontId="47" fillId="30" borderId="1" xfId="0" applyFont="1" applyFill="1" applyBorder="1" applyAlignment="1">
      <alignment horizontal="left" vertical="center" wrapText="1" indent="1"/>
    </xf>
    <xf numFmtId="0" fontId="59" fillId="31" borderId="27" xfId="0" applyFont="1" applyFill="1" applyBorder="1" applyAlignment="1">
      <alignment horizontal="left" vertical="center"/>
    </xf>
    <xf numFmtId="0" fontId="47" fillId="47" borderId="75" xfId="0" applyFont="1" applyFill="1" applyBorder="1" applyAlignment="1">
      <alignment horizontal="left" vertical="center" wrapText="1" indent="1"/>
    </xf>
    <xf numFmtId="0" fontId="47" fillId="47" borderId="1" xfId="0" applyFont="1" applyFill="1" applyBorder="1" applyAlignment="1">
      <alignment horizontal="left" vertical="center" wrapText="1" indent="1"/>
    </xf>
    <xf numFmtId="0" fontId="59" fillId="47" borderId="24" xfId="0" applyFont="1" applyFill="1" applyBorder="1" applyAlignment="1">
      <alignment horizontal="left" wrapText="1"/>
    </xf>
    <xf numFmtId="0" fontId="58" fillId="44" borderId="5" xfId="0" applyFont="1" applyFill="1" applyBorder="1" applyAlignment="1">
      <alignment horizontal="left" vertical="center" wrapText="1"/>
    </xf>
    <xf numFmtId="0" fontId="58" fillId="44" borderId="27" xfId="0" applyFont="1" applyFill="1" applyBorder="1" applyAlignment="1">
      <alignment horizontal="left" vertical="center" wrapText="1"/>
    </xf>
    <xf numFmtId="0" fontId="24" fillId="40" borderId="1" xfId="727" applyFont="1" applyFill="1" applyBorder="1" applyAlignment="1">
      <alignment horizontal="center" vertical="center"/>
    </xf>
    <xf numFmtId="0" fontId="24" fillId="40" borderId="70" xfId="727" applyFont="1" applyFill="1" applyBorder="1" applyAlignment="1">
      <alignment horizontal="center" vertical="center"/>
    </xf>
    <xf numFmtId="0" fontId="59" fillId="39" borderId="25" xfId="0" applyFont="1" applyFill="1" applyBorder="1" applyAlignment="1">
      <alignment vertical="center"/>
    </xf>
    <xf numFmtId="0" fontId="59" fillId="39" borderId="43" xfId="0" applyFont="1" applyFill="1" applyBorder="1" applyAlignment="1">
      <alignment vertical="center"/>
    </xf>
    <xf numFmtId="0" fontId="59" fillId="39" borderId="47" xfId="0" applyFont="1" applyFill="1" applyBorder="1" applyAlignment="1">
      <alignment horizontal="left" vertical="center" indent="2"/>
    </xf>
    <xf numFmtId="0" fontId="47" fillId="31" borderId="75" xfId="0" applyFont="1" applyFill="1" applyBorder="1" applyAlignment="1">
      <alignment horizontal="left" vertical="center" wrapText="1" indent="1"/>
    </xf>
    <xf numFmtId="0" fontId="47" fillId="31" borderId="1" xfId="0" applyFont="1" applyFill="1" applyBorder="1" applyAlignment="1">
      <alignment horizontal="left" vertical="center" wrapText="1" indent="1"/>
    </xf>
    <xf numFmtId="0" fontId="80" fillId="0" borderId="7" xfId="0" applyFont="1" applyFill="1" applyBorder="1" applyAlignment="1">
      <alignment horizontal="center" vertical="center"/>
    </xf>
    <xf numFmtId="0" fontId="0" fillId="32" borderId="32" xfId="0" applyFill="1" applyBorder="1" applyAlignment="1"/>
    <xf numFmtId="0" fontId="67" fillId="46" borderId="77" xfId="727" applyFont="1" applyFill="1" applyBorder="1" applyAlignment="1">
      <alignment horizontal="left" vertical="center" wrapText="1"/>
    </xf>
    <xf numFmtId="0" fontId="0" fillId="32" borderId="30" xfId="0" applyFill="1" applyBorder="1" applyAlignment="1"/>
    <xf numFmtId="0" fontId="0" fillId="32" borderId="31" xfId="0" applyFill="1" applyBorder="1" applyAlignment="1"/>
    <xf numFmtId="0" fontId="47" fillId="45" borderId="66" xfId="0" applyFont="1" applyFill="1" applyBorder="1" applyAlignment="1">
      <alignment horizontal="left" vertical="center" wrapText="1" indent="1"/>
    </xf>
    <xf numFmtId="0" fontId="47" fillId="45" borderId="30" xfId="0" applyFont="1" applyFill="1" applyBorder="1" applyAlignment="1">
      <alignment horizontal="left" vertical="center" wrapText="1" indent="1"/>
    </xf>
    <xf numFmtId="0" fontId="51" fillId="50" borderId="75" xfId="0" applyFont="1" applyFill="1" applyBorder="1" applyAlignment="1">
      <alignment horizontal="left" vertical="center" indent="1"/>
    </xf>
    <xf numFmtId="0" fontId="51" fillId="50" borderId="1" xfId="0" applyFont="1" applyFill="1" applyBorder="1" applyAlignment="1">
      <alignment horizontal="left" vertical="center" indent="1"/>
    </xf>
    <xf numFmtId="0" fontId="18" fillId="36" borderId="75" xfId="1" applyFill="1" applyBorder="1" applyAlignment="1" applyProtection="1">
      <alignment horizontal="left" vertical="center"/>
      <protection locked="0"/>
    </xf>
    <xf numFmtId="0" fontId="18" fillId="36" borderId="69" xfId="1" applyFill="1" applyBorder="1" applyAlignment="1">
      <alignment horizontal="left" vertical="center"/>
    </xf>
    <xf numFmtId="0" fontId="18" fillId="36" borderId="73" xfId="1" applyFill="1" applyBorder="1" applyAlignment="1">
      <alignment horizontal="left" vertical="center"/>
    </xf>
    <xf numFmtId="0" fontId="18" fillId="36" borderId="69" xfId="1" applyFill="1" applyBorder="1" applyAlignment="1" applyProtection="1">
      <alignment horizontal="left" vertical="center"/>
      <protection locked="0"/>
    </xf>
    <xf numFmtId="0" fontId="18" fillId="36" borderId="73" xfId="1" applyFill="1" applyBorder="1" applyAlignment="1" applyProtection="1">
      <alignment horizontal="left" vertical="center"/>
      <protection locked="0"/>
    </xf>
    <xf numFmtId="0" fontId="18" fillId="38" borderId="69" xfId="1" applyFill="1" applyBorder="1" applyAlignment="1" applyProtection="1">
      <alignment horizontal="left"/>
      <protection locked="0"/>
    </xf>
    <xf numFmtId="0" fontId="18" fillId="38" borderId="69" xfId="1" applyFont="1" applyFill="1" applyBorder="1" applyAlignment="1" applyProtection="1">
      <alignment horizontal="left" wrapText="1"/>
      <protection locked="0"/>
    </xf>
    <xf numFmtId="0" fontId="49" fillId="29" borderId="25" xfId="0" applyFont="1" applyFill="1" applyBorder="1" applyAlignment="1">
      <alignment vertical="center"/>
    </xf>
    <xf numFmtId="0" fontId="49" fillId="29" borderId="0" xfId="0" applyFont="1" applyFill="1" applyBorder="1" applyAlignment="1">
      <alignment vertical="center"/>
    </xf>
    <xf numFmtId="0" fontId="0" fillId="0" borderId="0" xfId="0" applyBorder="1" applyAlignment="1"/>
    <xf numFmtId="0" fontId="57" fillId="27" borderId="79" xfId="0" applyFont="1" applyFill="1" applyBorder="1" applyAlignment="1">
      <alignment horizontal="left" vertical="center" wrapText="1" indent="1"/>
    </xf>
    <xf numFmtId="0" fontId="79" fillId="31" borderId="27" xfId="0" applyFont="1" applyFill="1" applyBorder="1" applyAlignment="1">
      <alignment vertical="center"/>
    </xf>
    <xf numFmtId="14" fontId="18" fillId="53" borderId="69" xfId="5443" applyNumberFormat="1" applyFont="1" applyFill="1" applyBorder="1" applyAlignment="1">
      <alignment horizontal="center" vertical="center"/>
    </xf>
    <xf numFmtId="0" fontId="57" fillId="31" borderId="75" xfId="0" applyFont="1" applyFill="1" applyBorder="1" applyAlignment="1">
      <alignment horizontal="left" vertical="center" wrapText="1" indent="1"/>
    </xf>
    <xf numFmtId="0" fontId="44" fillId="32" borderId="0" xfId="0" applyFont="1" applyFill="1" applyBorder="1" applyAlignment="1">
      <alignment horizontal="center" vertical="center" wrapText="1"/>
    </xf>
    <xf numFmtId="0" fontId="59" fillId="30" borderId="5" xfId="0" applyFont="1" applyFill="1" applyBorder="1" applyAlignment="1">
      <alignment horizontal="left" vertical="center"/>
    </xf>
    <xf numFmtId="0" fontId="59" fillId="30" borderId="7" xfId="0" applyFont="1" applyFill="1" applyBorder="1" applyAlignment="1">
      <alignment vertical="center"/>
    </xf>
    <xf numFmtId="0" fontId="18" fillId="29" borderId="76" xfId="0" applyFont="1" applyFill="1" applyBorder="1" applyAlignment="1">
      <alignment horizontal="left" vertical="center" indent="1"/>
    </xf>
    <xf numFmtId="0" fontId="80" fillId="0" borderId="7" xfId="0" applyFont="1" applyFill="1" applyBorder="1" applyAlignment="1">
      <alignment vertical="center"/>
    </xf>
    <xf numFmtId="0" fontId="67" fillId="46" borderId="76" xfId="727" applyFont="1" applyFill="1" applyBorder="1" applyAlignment="1">
      <alignment vertical="center" wrapText="1"/>
    </xf>
    <xf numFmtId="0" fontId="67" fillId="46" borderId="77" xfId="727" applyFont="1" applyFill="1" applyBorder="1" applyAlignment="1">
      <alignment vertical="center" wrapText="1"/>
    </xf>
    <xf numFmtId="0" fontId="47" fillId="25" borderId="75" xfId="0" applyFont="1" applyFill="1" applyBorder="1" applyAlignment="1">
      <alignment horizontal="left" vertical="center" wrapText="1" indent="1"/>
    </xf>
    <xf numFmtId="0" fontId="44" fillId="0" borderId="7" xfId="0" applyFont="1" applyFill="1" applyBorder="1" applyAlignment="1">
      <alignment horizontal="center" wrapText="1"/>
    </xf>
    <xf numFmtId="0" fontId="47" fillId="45" borderId="75" xfId="0" applyFont="1" applyFill="1" applyBorder="1" applyAlignment="1">
      <alignment horizontal="left" vertical="center" wrapText="1" indent="1"/>
    </xf>
    <xf numFmtId="0" fontId="71" fillId="49" borderId="27" xfId="0" applyFont="1" applyFill="1" applyBorder="1" applyAlignment="1">
      <alignment vertical="center" wrapText="1"/>
    </xf>
    <xf numFmtId="0" fontId="53" fillId="51" borderId="75" xfId="0" applyFont="1" applyFill="1" applyBorder="1" applyAlignment="1">
      <alignment horizontal="left" vertical="center" wrapText="1" indent="1"/>
    </xf>
    <xf numFmtId="0" fontId="53" fillId="51" borderId="1" xfId="0" applyFont="1" applyFill="1" applyBorder="1" applyAlignment="1">
      <alignment horizontal="left" vertical="center" wrapText="1" indent="1"/>
    </xf>
    <xf numFmtId="0" fontId="47" fillId="31" borderId="5" xfId="0" applyFont="1" applyFill="1" applyBorder="1" applyAlignment="1">
      <alignment horizontal="left" vertical="center" wrapText="1" indent="1"/>
    </xf>
    <xf numFmtId="0" fontId="0" fillId="29" borderId="30" xfId="0" applyFill="1" applyBorder="1" applyAlignment="1">
      <alignment vertical="center"/>
    </xf>
    <xf numFmtId="0" fontId="62" fillId="29" borderId="0" xfId="0" applyFont="1" applyFill="1" applyBorder="1" applyAlignment="1">
      <alignment horizontal="center" vertical="center"/>
    </xf>
    <xf numFmtId="0" fontId="60" fillId="29" borderId="0" xfId="0" applyFont="1" applyFill="1" applyBorder="1" applyAlignment="1">
      <alignment vertical="center" wrapText="1"/>
    </xf>
    <xf numFmtId="0" fontId="60" fillId="29" borderId="32" xfId="0" applyFont="1" applyFill="1" applyBorder="1" applyAlignment="1">
      <alignment vertical="center" wrapText="1"/>
    </xf>
    <xf numFmtId="0" fontId="81" fillId="37" borderId="2" xfId="3" applyFont="1" applyFill="1" applyBorder="1" applyAlignment="1">
      <alignment horizontal="center" vertical="center" wrapText="1"/>
    </xf>
    <xf numFmtId="0" fontId="18" fillId="55" borderId="69" xfId="1" applyFill="1" applyBorder="1" applyAlignment="1" applyProtection="1">
      <alignment horizontal="left"/>
      <protection locked="0"/>
    </xf>
    <xf numFmtId="0" fontId="18" fillId="55" borderId="2" xfId="1" applyFill="1" applyBorder="1" applyAlignment="1" applyProtection="1">
      <alignment horizontal="left"/>
      <protection locked="0"/>
    </xf>
    <xf numFmtId="0" fontId="18" fillId="55" borderId="23" xfId="1" applyFont="1" applyFill="1" applyBorder="1" applyAlignment="1" applyProtection="1">
      <alignment horizontal="left"/>
      <protection locked="0"/>
    </xf>
    <xf numFmtId="0" fontId="0" fillId="55" borderId="1" xfId="0" applyFill="1" applyBorder="1" applyAlignment="1">
      <alignment horizontal="left"/>
    </xf>
    <xf numFmtId="0" fontId="0" fillId="31" borderId="29" xfId="0" applyFill="1" applyBorder="1" applyAlignment="1"/>
    <xf numFmtId="0" fontId="80" fillId="29" borderId="7" xfId="0" applyFont="1" applyFill="1" applyBorder="1" applyAlignment="1">
      <alignment vertical="center"/>
    </xf>
    <xf numFmtId="0" fontId="18" fillId="0" borderId="76" xfId="0" applyFont="1" applyBorder="1" applyAlignment="1">
      <alignment horizontal="left" vertical="center" indent="1"/>
    </xf>
    <xf numFmtId="0" fontId="51" fillId="56" borderId="75" xfId="0" applyFont="1" applyFill="1" applyBorder="1" applyAlignment="1">
      <alignment horizontal="left" vertical="center" indent="1"/>
    </xf>
    <xf numFmtId="0" fontId="51" fillId="56" borderId="1" xfId="0" applyFont="1" applyFill="1" applyBorder="1" applyAlignment="1">
      <alignment horizontal="left" vertical="center" indent="1"/>
    </xf>
    <xf numFmtId="0" fontId="59" fillId="56" borderId="27" xfId="0" applyFont="1" applyFill="1" applyBorder="1" applyAlignment="1">
      <alignment horizontal="left" vertical="center"/>
    </xf>
    <xf numFmtId="0" fontId="58" fillId="44" borderId="85" xfId="0" applyFont="1" applyFill="1" applyBorder="1" applyAlignment="1">
      <alignment horizontal="left" vertical="center" wrapText="1"/>
    </xf>
    <xf numFmtId="0" fontId="80" fillId="0" borderId="41" xfId="0" applyFont="1" applyFill="1" applyBorder="1" applyAlignment="1">
      <alignment horizontal="center" vertical="center"/>
    </xf>
    <xf numFmtId="0" fontId="58" fillId="44" borderId="75" xfId="0" applyFont="1" applyFill="1" applyBorder="1" applyAlignment="1">
      <alignment horizontal="left" vertical="center" wrapText="1"/>
    </xf>
    <xf numFmtId="0" fontId="80" fillId="0" borderId="76" xfId="0" applyFont="1" applyFill="1" applyBorder="1" applyAlignment="1">
      <alignment horizontal="center" vertical="center"/>
    </xf>
    <xf numFmtId="0" fontId="47" fillId="25" borderId="1" xfId="0" applyFont="1" applyFill="1" applyBorder="1" applyAlignment="1">
      <alignment horizontal="left" vertical="center" wrapText="1" indent="1"/>
    </xf>
    <xf numFmtId="0" fontId="18" fillId="46" borderId="82" xfId="0" applyFont="1" applyFill="1" applyBorder="1" applyAlignment="1">
      <alignment horizontal="center" vertical="center" wrapText="1"/>
    </xf>
    <xf numFmtId="0" fontId="18" fillId="46" borderId="53" xfId="0" applyFont="1" applyFill="1" applyBorder="1" applyAlignment="1">
      <alignment horizontal="center" vertical="center" wrapText="1"/>
    </xf>
    <xf numFmtId="0" fontId="84" fillId="48" borderId="76" xfId="0" applyFont="1" applyFill="1" applyBorder="1" applyAlignment="1">
      <alignment vertical="center"/>
    </xf>
    <xf numFmtId="0" fontId="55" fillId="32" borderId="76" xfId="0" applyFont="1" applyFill="1" applyBorder="1" applyAlignment="1">
      <alignment horizontal="left" vertical="center" indent="1"/>
    </xf>
    <xf numFmtId="0" fontId="55" fillId="29" borderId="76" xfId="0" applyFont="1" applyFill="1" applyBorder="1" applyAlignment="1">
      <alignment horizontal="left" vertical="center" indent="1"/>
    </xf>
    <xf numFmtId="0" fontId="18" fillId="0" borderId="77" xfId="0" applyFont="1" applyBorder="1" applyAlignment="1">
      <alignment horizontal="left" vertical="center" indent="1"/>
    </xf>
    <xf numFmtId="0" fontId="18" fillId="46" borderId="76" xfId="0" applyFont="1" applyFill="1" applyBorder="1" applyAlignment="1">
      <alignment horizontal="left" vertical="center" indent="1"/>
    </xf>
    <xf numFmtId="0" fontId="18" fillId="46" borderId="77" xfId="0" applyFont="1" applyFill="1" applyBorder="1" applyAlignment="1">
      <alignment horizontal="left" vertical="center" indent="1"/>
    </xf>
    <xf numFmtId="0" fontId="18" fillId="32" borderId="0" xfId="0" applyFont="1" applyFill="1" applyBorder="1" applyAlignment="1"/>
    <xf numFmtId="0" fontId="18" fillId="46" borderId="7" xfId="0" applyFont="1" applyFill="1" applyBorder="1" applyAlignment="1">
      <alignment horizontal="left" vertical="center" indent="1"/>
    </xf>
    <xf numFmtId="0" fontId="18" fillId="46" borderId="76" xfId="0" applyNumberFormat="1" applyFont="1" applyFill="1" applyBorder="1" applyAlignment="1" applyProtection="1">
      <alignment horizontal="left" vertical="center" indent="1"/>
    </xf>
    <xf numFmtId="0" fontId="18" fillId="46" borderId="77" xfId="727" applyFont="1" applyFill="1" applyBorder="1" applyAlignment="1">
      <alignment horizontal="left" vertical="center" wrapText="1" indent="1"/>
    </xf>
    <xf numFmtId="0" fontId="18" fillId="46" borderId="76" xfId="0" applyFont="1" applyFill="1" applyBorder="1" applyAlignment="1">
      <alignment horizontal="left" vertical="center"/>
    </xf>
    <xf numFmtId="0" fontId="18" fillId="46" borderId="76" xfId="727" applyFont="1" applyFill="1" applyBorder="1" applyAlignment="1">
      <alignment horizontal="left" vertical="center" wrapText="1"/>
    </xf>
    <xf numFmtId="166" fontId="18" fillId="46" borderId="76" xfId="727" applyNumberFormat="1" applyFont="1" applyFill="1" applyBorder="1" applyAlignment="1">
      <alignment horizontal="left" vertical="center" wrapText="1"/>
    </xf>
    <xf numFmtId="0" fontId="18" fillId="29" borderId="77" xfId="0" applyFont="1" applyFill="1" applyBorder="1" applyAlignment="1">
      <alignment horizontal="left" vertical="center" indent="1"/>
    </xf>
    <xf numFmtId="0" fontId="47" fillId="46" borderId="75" xfId="0" applyFont="1" applyFill="1" applyBorder="1" applyAlignment="1">
      <alignment horizontal="left" vertical="center" wrapText="1" indent="1"/>
    </xf>
    <xf numFmtId="0" fontId="66" fillId="0" borderId="0" xfId="0" applyFont="1" applyAlignment="1">
      <alignment vertical="center" wrapText="1"/>
    </xf>
    <xf numFmtId="0" fontId="85" fillId="58" borderId="99" xfId="0" applyFont="1" applyFill="1" applyBorder="1" applyAlignment="1">
      <alignment horizontal="left" vertical="center" indent="1"/>
    </xf>
    <xf numFmtId="0" fontId="86" fillId="0" borderId="0" xfId="0" applyFont="1" applyAlignment="1">
      <alignment vertical="center"/>
    </xf>
    <xf numFmtId="0" fontId="47" fillId="57" borderId="5" xfId="0" applyFont="1" applyFill="1" applyBorder="1" applyAlignment="1">
      <alignment horizontal="left" vertical="center" wrapText="1" indent="2"/>
    </xf>
    <xf numFmtId="0" fontId="18" fillId="0" borderId="95" xfId="0" applyNumberFormat="1" applyFont="1" applyBorder="1" applyAlignment="1">
      <alignment vertical="center" wrapText="1"/>
    </xf>
    <xf numFmtId="0" fontId="18" fillId="0" borderId="95" xfId="0" applyFont="1" applyBorder="1" applyAlignment="1">
      <alignment vertical="center" wrapText="1"/>
    </xf>
    <xf numFmtId="0" fontId="24" fillId="46" borderId="76" xfId="0" applyFont="1" applyFill="1" applyBorder="1" applyAlignment="1">
      <alignment horizontal="left" vertical="center" indent="1"/>
    </xf>
    <xf numFmtId="0" fontId="80" fillId="46" borderId="100" xfId="0" applyFont="1" applyFill="1" applyBorder="1" applyAlignment="1">
      <alignment horizontal="center" vertical="center"/>
    </xf>
    <xf numFmtId="0" fontId="47" fillId="57" borderId="75" xfId="0" applyFont="1" applyFill="1" applyBorder="1" applyAlignment="1">
      <alignment horizontal="left" vertical="center" wrapText="1" indent="2"/>
    </xf>
    <xf numFmtId="0" fontId="24" fillId="46" borderId="7" xfId="0" applyFont="1" applyFill="1" applyBorder="1" applyAlignment="1">
      <alignment horizontal="left" vertical="center" indent="1"/>
    </xf>
    <xf numFmtId="0" fontId="20" fillId="0" borderId="93" xfId="0" applyFont="1" applyBorder="1" applyAlignment="1">
      <alignment horizontal="center" vertical="center" wrapText="1"/>
    </xf>
    <xf numFmtId="0" fontId="18" fillId="0" borderId="90" xfId="0" applyFont="1" applyBorder="1" applyAlignment="1">
      <alignment vertical="center" wrapText="1"/>
    </xf>
    <xf numFmtId="0" fontId="20" fillId="54" borderId="98" xfId="0" applyFont="1" applyFill="1" applyBorder="1" applyAlignment="1">
      <alignment horizontal="left" vertical="center" indent="1"/>
    </xf>
    <xf numFmtId="0" fontId="18" fillId="0" borderId="91" xfId="0" applyFont="1" applyBorder="1" applyAlignment="1">
      <alignment vertical="center" wrapText="1"/>
    </xf>
    <xf numFmtId="0" fontId="20" fillId="0" borderId="97" xfId="0" applyFont="1" applyBorder="1" applyAlignment="1">
      <alignment horizontal="center" vertical="center" wrapText="1"/>
    </xf>
    <xf numFmtId="0" fontId="20" fillId="0" borderId="92" xfId="0" applyFont="1" applyBorder="1" applyAlignment="1">
      <alignment horizontal="center" vertical="center" wrapText="1"/>
    </xf>
    <xf numFmtId="0" fontId="18" fillId="0" borderId="94" xfId="0" applyFont="1" applyBorder="1" applyAlignment="1">
      <alignment vertical="center" wrapText="1"/>
    </xf>
    <xf numFmtId="0" fontId="18" fillId="0" borderId="96" xfId="0" applyFont="1" applyBorder="1" applyAlignment="1">
      <alignment vertical="center" wrapText="1"/>
    </xf>
    <xf numFmtId="0" fontId="24" fillId="0" borderId="77" xfId="0" applyFont="1" applyFill="1" applyBorder="1" applyAlignment="1">
      <alignment horizontal="left" vertical="center" indent="1"/>
    </xf>
    <xf numFmtId="0" fontId="47" fillId="39" borderId="44" xfId="3" applyFont="1" applyFill="1" applyBorder="1" applyAlignment="1">
      <alignment horizontal="center" vertical="center" wrapText="1"/>
    </xf>
    <xf numFmtId="0" fontId="47" fillId="39" borderId="45" xfId="3" applyFont="1" applyFill="1" applyBorder="1" applyAlignment="1">
      <alignment horizontal="center" vertical="center" wrapText="1"/>
    </xf>
    <xf numFmtId="0" fontId="24" fillId="40" borderId="6" xfId="727" applyFont="1" applyFill="1" applyBorder="1" applyAlignment="1">
      <alignment horizontal="center" vertical="center"/>
    </xf>
    <xf numFmtId="0" fontId="47" fillId="34" borderId="89" xfId="3" applyFont="1" applyFill="1" applyBorder="1" applyAlignment="1">
      <alignment horizontal="left" vertical="center" indent="1"/>
    </xf>
    <xf numFmtId="0" fontId="25" fillId="0" borderId="57" xfId="2" applyBorder="1" applyAlignment="1" applyProtection="1">
      <alignment vertical="center" wrapText="1"/>
    </xf>
    <xf numFmtId="0" fontId="25" fillId="0" borderId="96" xfId="2" applyBorder="1" applyAlignment="1" applyProtection="1">
      <alignment vertical="center" wrapText="1"/>
    </xf>
    <xf numFmtId="0" fontId="47" fillId="45" borderId="1" xfId="0" applyFont="1" applyFill="1" applyBorder="1" applyAlignment="1">
      <alignment horizontal="left" vertical="center" wrapText="1" indent="1"/>
    </xf>
    <xf numFmtId="0" fontId="67" fillId="46" borderId="76" xfId="727" applyFont="1" applyFill="1" applyBorder="1" applyAlignment="1">
      <alignment vertical="center" wrapText="1"/>
    </xf>
    <xf numFmtId="0" fontId="47" fillId="45" borderId="89" xfId="0" applyFont="1" applyFill="1" applyBorder="1" applyAlignment="1">
      <alignment horizontal="left" vertical="center" wrapText="1" indent="1"/>
    </xf>
    <xf numFmtId="0" fontId="67" fillId="46" borderId="67" xfId="727" applyFont="1" applyFill="1" applyBorder="1" applyAlignment="1">
      <alignment horizontal="left" vertical="center" wrapText="1"/>
    </xf>
    <xf numFmtId="2" fontId="18" fillId="0" borderId="76" xfId="0" applyNumberFormat="1" applyFont="1" applyBorder="1" applyAlignment="1">
      <alignment horizontal="left" vertical="center" indent="1"/>
    </xf>
    <xf numFmtId="0" fontId="87" fillId="45" borderId="75" xfId="0" applyFont="1" applyFill="1" applyBorder="1" applyAlignment="1">
      <alignment horizontal="left" vertical="center" wrapText="1" indent="1"/>
    </xf>
    <xf numFmtId="0" fontId="20" fillId="25" borderId="69" xfId="3424" applyFont="1" applyFill="1" applyBorder="1" applyAlignment="1">
      <alignment horizontal="center" vertical="center"/>
    </xf>
    <xf numFmtId="0" fontId="18" fillId="0" borderId="0" xfId="3424"/>
    <xf numFmtId="0" fontId="18" fillId="0" borderId="0" xfId="3424" applyAlignment="1">
      <alignment vertical="center"/>
    </xf>
    <xf numFmtId="0" fontId="18" fillId="0" borderId="0" xfId="3424" applyAlignment="1">
      <alignment horizontal="center" vertical="center"/>
    </xf>
    <xf numFmtId="0" fontId="18" fillId="0" borderId="0" xfId="3424" applyAlignment="1">
      <alignment horizontal="left" vertical="center"/>
    </xf>
    <xf numFmtId="0" fontId="20" fillId="25" borderId="75" xfId="3424" applyFont="1" applyFill="1" applyBorder="1" applyAlignment="1">
      <alignment horizontal="center" vertical="center" wrapText="1"/>
    </xf>
    <xf numFmtId="14" fontId="18" fillId="53" borderId="75" xfId="5443" applyNumberFormat="1" applyFont="1" applyFill="1" applyBorder="1" applyAlignment="1">
      <alignment horizontal="center" vertical="center"/>
    </xf>
    <xf numFmtId="14" fontId="18" fillId="53" borderId="75" xfId="3424" applyNumberFormat="1" applyFill="1" applyBorder="1" applyAlignment="1">
      <alignment horizontal="center" vertical="center"/>
    </xf>
    <xf numFmtId="14" fontId="18" fillId="53" borderId="69" xfId="3424" applyNumberFormat="1" applyFill="1" applyBorder="1" applyAlignment="1">
      <alignment horizontal="center" vertical="center"/>
    </xf>
    <xf numFmtId="14" fontId="18" fillId="0" borderId="75" xfId="3424" applyNumberFormat="1" applyBorder="1" applyAlignment="1">
      <alignment horizontal="center" vertical="center"/>
    </xf>
    <xf numFmtId="14" fontId="18" fillId="0" borderId="69" xfId="3424" applyNumberFormat="1" applyBorder="1" applyAlignment="1">
      <alignment horizontal="center" vertical="center"/>
    </xf>
    <xf numFmtId="0" fontId="89" fillId="29" borderId="0" xfId="0" applyFont="1" applyFill="1" applyBorder="1" applyAlignment="1">
      <alignment horizontal="center" vertical="center"/>
    </xf>
    <xf numFmtId="0" fontId="18" fillId="0" borderId="69" xfId="730" quotePrefix="1" applyBorder="1" applyProtection="1">
      <protection locked="0"/>
    </xf>
    <xf numFmtId="0" fontId="59" fillId="25" borderId="69" xfId="3424" applyFont="1" applyFill="1" applyBorder="1" applyAlignment="1">
      <alignment horizontal="left" vertical="center" indent="3"/>
    </xf>
    <xf numFmtId="0" fontId="75" fillId="25" borderId="69" xfId="3424" applyFont="1" applyFill="1" applyBorder="1" applyAlignment="1">
      <alignment horizontal="left" vertical="center" indent="3"/>
    </xf>
    <xf numFmtId="0" fontId="59" fillId="25" borderId="73" xfId="3424" applyFont="1" applyFill="1" applyBorder="1" applyAlignment="1">
      <alignment horizontal="left" vertical="center" indent="3"/>
    </xf>
    <xf numFmtId="0" fontId="59" fillId="25" borderId="74" xfId="3424" applyFont="1" applyFill="1" applyBorder="1" applyAlignment="1">
      <alignment horizontal="left" vertical="center" indent="3"/>
    </xf>
    <xf numFmtId="0" fontId="59" fillId="25" borderId="72" xfId="3424" applyFont="1" applyFill="1" applyBorder="1" applyAlignment="1">
      <alignment horizontal="left" vertical="center" indent="3"/>
    </xf>
    <xf numFmtId="0" fontId="0" fillId="0" borderId="0" xfId="0" applyAlignment="1">
      <alignment vertical="center" wrapText="1"/>
    </xf>
    <xf numFmtId="0" fontId="18" fillId="0" borderId="0" xfId="0" applyFont="1" applyAlignment="1">
      <alignment vertical="center" wrapText="1"/>
    </xf>
    <xf numFmtId="0" fontId="18" fillId="0" borderId="0" xfId="0" quotePrefix="1" applyFont="1" applyAlignment="1">
      <alignment vertical="center" wrapText="1"/>
    </xf>
    <xf numFmtId="0" fontId="67" fillId="46" borderId="41" xfId="727" applyFont="1" applyFill="1" applyBorder="1" applyAlignment="1">
      <alignment horizontal="left" vertical="center" wrapText="1"/>
    </xf>
    <xf numFmtId="0" fontId="58" fillId="44" borderId="11" xfId="0" applyFont="1" applyFill="1" applyBorder="1" applyAlignment="1">
      <alignment horizontal="left" vertical="center" wrapText="1"/>
    </xf>
    <xf numFmtId="0" fontId="80" fillId="0" borderId="100" xfId="0" applyFont="1" applyFill="1" applyBorder="1" applyAlignment="1">
      <alignment horizontal="center" vertical="center"/>
    </xf>
    <xf numFmtId="0" fontId="47" fillId="45" borderId="75" xfId="0" applyFont="1" applyFill="1" applyBorder="1" applyAlignment="1">
      <alignment horizontal="left" vertical="center" wrapText="1" indent="1"/>
    </xf>
    <xf numFmtId="0" fontId="0" fillId="46" borderId="29" xfId="0" applyFill="1" applyBorder="1" applyAlignment="1">
      <alignment horizontal="left" vertical="center"/>
    </xf>
    <xf numFmtId="165" fontId="63" fillId="41" borderId="104" xfId="0" applyNumberFormat="1" applyFont="1" applyFill="1" applyBorder="1" applyAlignment="1">
      <alignment horizontal="left" vertical="center"/>
    </xf>
    <xf numFmtId="0" fontId="67" fillId="46" borderId="102" xfId="727" applyFont="1" applyFill="1" applyBorder="1" applyAlignment="1">
      <alignment horizontal="left" vertical="center" wrapText="1"/>
    </xf>
    <xf numFmtId="0" fontId="47" fillId="45" borderId="40" xfId="0" applyFont="1" applyFill="1" applyBorder="1" applyAlignment="1">
      <alignment horizontal="left" vertical="center" wrapText="1"/>
    </xf>
    <xf numFmtId="0" fontId="47" fillId="45" borderId="5" xfId="0" applyFont="1" applyFill="1" applyBorder="1" applyAlignment="1">
      <alignment horizontal="left" vertical="center" wrapText="1"/>
    </xf>
    <xf numFmtId="0" fontId="47" fillId="45" borderId="75" xfId="0" applyFont="1" applyFill="1" applyBorder="1" applyAlignment="1">
      <alignment horizontal="left" vertical="center" wrapText="1"/>
    </xf>
    <xf numFmtId="0" fontId="70" fillId="29" borderId="24" xfId="730" applyFont="1" applyFill="1" applyBorder="1" applyAlignment="1">
      <alignment horizontal="left" vertical="center" indent="3"/>
    </xf>
    <xf numFmtId="0" fontId="70" fillId="29" borderId="25" xfId="730" applyFont="1" applyFill="1" applyBorder="1" applyAlignment="1">
      <alignment horizontal="left" vertical="center" indent="3"/>
    </xf>
    <xf numFmtId="0" fontId="70" fillId="29" borderId="26" xfId="730" applyFont="1" applyFill="1" applyBorder="1" applyAlignment="1">
      <alignment horizontal="left" vertical="center" indent="3"/>
    </xf>
    <xf numFmtId="0" fontId="70" fillId="29" borderId="31" xfId="730" applyFont="1" applyFill="1" applyBorder="1" applyAlignment="1">
      <alignment horizontal="left" vertical="center" indent="3"/>
    </xf>
    <xf numFmtId="0" fontId="70" fillId="29" borderId="32" xfId="730" applyFont="1" applyFill="1" applyBorder="1" applyAlignment="1">
      <alignment horizontal="left" vertical="center" indent="3"/>
    </xf>
    <xf numFmtId="0" fontId="70" fillId="29" borderId="34" xfId="730" applyFont="1" applyFill="1" applyBorder="1" applyAlignment="1">
      <alignment horizontal="left" vertical="center" indent="3"/>
    </xf>
    <xf numFmtId="0" fontId="18" fillId="0" borderId="52" xfId="730" applyBorder="1" applyAlignment="1">
      <alignment horizontal="center"/>
    </xf>
    <xf numFmtId="0" fontId="71" fillId="43" borderId="54" xfId="730" applyFont="1" applyFill="1" applyBorder="1" applyAlignment="1" applyProtection="1">
      <alignment horizontal="center" vertical="center"/>
      <protection locked="0"/>
    </xf>
    <xf numFmtId="0" fontId="71" fillId="43" borderId="37" xfId="730" applyFont="1" applyFill="1" applyBorder="1" applyAlignment="1" applyProtection="1">
      <alignment horizontal="center" vertical="center"/>
      <protection locked="0"/>
    </xf>
    <xf numFmtId="0" fontId="71" fillId="43" borderId="56" xfId="730" applyFont="1" applyFill="1" applyBorder="1" applyAlignment="1" applyProtection="1">
      <alignment horizontal="center" vertical="center"/>
      <protection locked="0"/>
    </xf>
    <xf numFmtId="0" fontId="22" fillId="31" borderId="11" xfId="3424" applyFont="1" applyFill="1" applyBorder="1" applyAlignment="1">
      <alignment horizontal="center" vertical="center"/>
    </xf>
    <xf numFmtId="0" fontId="22" fillId="31" borderId="12" xfId="3424" applyFont="1" applyFill="1" applyBorder="1" applyAlignment="1">
      <alignment horizontal="center" vertical="center"/>
    </xf>
    <xf numFmtId="0" fontId="22" fillId="31" borderId="13" xfId="3424" applyFont="1" applyFill="1" applyBorder="1" applyAlignment="1">
      <alignment horizontal="center" vertical="center"/>
    </xf>
    <xf numFmtId="0" fontId="20" fillId="28" borderId="75" xfId="3424" applyFont="1" applyFill="1" applyBorder="1" applyAlignment="1">
      <alignment horizontal="center" vertical="center"/>
    </xf>
    <xf numFmtId="0" fontId="20" fillId="28" borderId="73" xfId="3424" applyFont="1" applyFill="1" applyBorder="1" applyAlignment="1">
      <alignment horizontal="center" vertical="center"/>
    </xf>
    <xf numFmtId="49" fontId="18" fillId="0" borderId="69" xfId="5443" applyNumberFormat="1" applyFont="1" applyBorder="1" applyAlignment="1">
      <alignment horizontal="center" vertical="center"/>
    </xf>
    <xf numFmtId="49" fontId="18" fillId="0" borderId="76" xfId="5443" applyNumberFormat="1" applyFont="1" applyBorder="1" applyAlignment="1">
      <alignment horizontal="center" vertical="center"/>
    </xf>
    <xf numFmtId="0" fontId="22" fillId="31" borderId="27" xfId="3424" applyFont="1" applyFill="1" applyBorder="1" applyAlignment="1">
      <alignment horizontal="center" vertical="center"/>
    </xf>
    <xf numFmtId="0" fontId="22" fillId="31" borderId="28" xfId="3424" applyFont="1" applyFill="1" applyBorder="1" applyAlignment="1">
      <alignment horizontal="center" vertical="center"/>
    </xf>
    <xf numFmtId="0" fontId="22" fillId="31" borderId="29" xfId="3424" applyFont="1" applyFill="1" applyBorder="1" applyAlignment="1">
      <alignment horizontal="center" vertical="center"/>
    </xf>
    <xf numFmtId="0" fontId="20" fillId="28" borderId="80" xfId="3424" applyFont="1" applyFill="1" applyBorder="1" applyAlignment="1">
      <alignment horizontal="center" vertical="center"/>
    </xf>
    <xf numFmtId="0" fontId="20" fillId="28" borderId="78" xfId="3424" applyFont="1" applyFill="1" applyBorder="1" applyAlignment="1">
      <alignment horizontal="center" vertical="center"/>
    </xf>
    <xf numFmtId="49" fontId="18" fillId="0" borderId="81" xfId="5443" applyNumberFormat="1" applyFont="1" applyBorder="1" applyAlignment="1">
      <alignment horizontal="center" vertical="center"/>
    </xf>
    <xf numFmtId="49" fontId="18" fillId="0" borderId="67" xfId="5443" applyNumberFormat="1" applyFont="1" applyBorder="1" applyAlignment="1">
      <alignment horizontal="center" vertical="center"/>
    </xf>
    <xf numFmtId="14" fontId="18" fillId="0" borderId="69" xfId="5443" applyNumberFormat="1" applyFont="1" applyBorder="1" applyAlignment="1">
      <alignment horizontal="center" vertical="center"/>
    </xf>
    <xf numFmtId="14" fontId="18" fillId="0" borderId="76" xfId="5443" applyNumberFormat="1" applyFont="1" applyBorder="1" applyAlignment="1">
      <alignment horizontal="center" vertical="center"/>
    </xf>
    <xf numFmtId="0" fontId="23" fillId="27" borderId="24" xfId="3424" applyFont="1" applyFill="1" applyBorder="1" applyAlignment="1">
      <alignment horizontal="center" vertical="center"/>
    </xf>
    <xf numFmtId="0" fontId="18" fillId="27" borderId="25" xfId="3424" applyFill="1" applyBorder="1" applyAlignment="1">
      <alignment horizontal="center" vertical="center"/>
    </xf>
    <xf numFmtId="0" fontId="18" fillId="27" borderId="26" xfId="3424" applyFill="1" applyBorder="1" applyAlignment="1">
      <alignment horizontal="center" vertical="center"/>
    </xf>
    <xf numFmtId="0" fontId="20" fillId="25" borderId="73" xfId="3424" applyFont="1" applyFill="1" applyBorder="1" applyAlignment="1">
      <alignment horizontal="center" vertical="center"/>
    </xf>
    <xf numFmtId="0" fontId="20" fillId="25" borderId="72" xfId="3424" applyFont="1" applyFill="1" applyBorder="1" applyAlignment="1">
      <alignment horizontal="center" vertical="center"/>
    </xf>
    <xf numFmtId="0" fontId="20" fillId="25" borderId="74" xfId="3424" applyFont="1" applyFill="1" applyBorder="1" applyAlignment="1">
      <alignment horizontal="center" vertical="center"/>
    </xf>
    <xf numFmtId="0" fontId="20" fillId="25" borderId="65" xfId="3424" applyFont="1" applyFill="1" applyBorder="1" applyAlignment="1">
      <alignment horizontal="center" vertical="center"/>
    </xf>
    <xf numFmtId="0" fontId="88" fillId="55" borderId="73" xfId="5443" applyFont="1" applyFill="1" applyBorder="1" applyAlignment="1">
      <alignment horizontal="left" vertical="center" indent="3"/>
    </xf>
    <xf numFmtId="0" fontId="88" fillId="55" borderId="74" xfId="5443" applyFont="1" applyFill="1" applyBorder="1" applyAlignment="1">
      <alignment horizontal="left" vertical="center" indent="3"/>
    </xf>
    <xf numFmtId="0" fontId="88" fillId="55" borderId="72" xfId="5443" applyFont="1" applyFill="1" applyBorder="1" applyAlignment="1">
      <alignment horizontal="left" vertical="center" indent="3"/>
    </xf>
    <xf numFmtId="0" fontId="22" fillId="31" borderId="5" xfId="3424" applyFont="1" applyFill="1" applyBorder="1" applyAlignment="1">
      <alignment horizontal="center" vertical="center"/>
    </xf>
    <xf numFmtId="0" fontId="22" fillId="31" borderId="6" xfId="3424" applyFont="1" applyFill="1" applyBorder="1" applyAlignment="1">
      <alignment horizontal="center" vertical="center"/>
    </xf>
    <xf numFmtId="0" fontId="22" fillId="31" borderId="7" xfId="3424" applyFont="1" applyFill="1" applyBorder="1" applyAlignment="1">
      <alignment horizontal="center" vertical="center"/>
    </xf>
    <xf numFmtId="0" fontId="20" fillId="25" borderId="75" xfId="3424" applyFont="1" applyFill="1" applyBorder="1" applyAlignment="1">
      <alignment horizontal="center" vertical="center"/>
    </xf>
    <xf numFmtId="0" fontId="18" fillId="25" borderId="69" xfId="3424" applyFill="1" applyBorder="1" applyAlignment="1">
      <alignment horizontal="center" vertical="center"/>
    </xf>
    <xf numFmtId="0" fontId="20" fillId="25" borderId="69" xfId="3424" applyFont="1" applyFill="1" applyBorder="1" applyAlignment="1">
      <alignment horizontal="center" vertical="center"/>
    </xf>
    <xf numFmtId="0" fontId="18" fillId="25" borderId="76" xfId="3424" applyFill="1" applyBorder="1" applyAlignment="1">
      <alignment horizontal="center" vertical="center"/>
    </xf>
    <xf numFmtId="0" fontId="88" fillId="55" borderId="73" xfId="3424" applyFont="1" applyFill="1" applyBorder="1" applyAlignment="1">
      <alignment horizontal="left" vertical="center" indent="3"/>
    </xf>
    <xf numFmtId="0" fontId="88" fillId="55" borderId="74" xfId="3424" applyFont="1" applyFill="1" applyBorder="1" applyAlignment="1">
      <alignment horizontal="left" vertical="center" indent="3"/>
    </xf>
    <xf numFmtId="0" fontId="88" fillId="55" borderId="72" xfId="3424" applyFont="1" applyFill="1" applyBorder="1" applyAlignment="1">
      <alignment horizontal="left" vertical="center" indent="3"/>
    </xf>
    <xf numFmtId="0" fontId="18" fillId="0" borderId="75" xfId="5443" applyFont="1" applyBorder="1" applyAlignment="1">
      <alignment horizontal="left" vertical="center"/>
    </xf>
    <xf numFmtId="0" fontId="18" fillId="0" borderId="69" xfId="5443" applyFont="1" applyBorder="1" applyAlignment="1">
      <alignment horizontal="left" vertical="center"/>
    </xf>
    <xf numFmtId="0" fontId="20" fillId="0" borderId="69" xfId="3424" applyFont="1" applyBorder="1" applyAlignment="1">
      <alignment horizontal="left" vertical="center"/>
    </xf>
    <xf numFmtId="0" fontId="18" fillId="0" borderId="76" xfId="5443" applyFont="1" applyBorder="1" applyAlignment="1">
      <alignment horizontal="left" vertical="center"/>
    </xf>
    <xf numFmtId="0" fontId="21" fillId="0" borderId="1" xfId="3424" applyFont="1" applyBorder="1" applyAlignment="1">
      <alignment horizontal="center" vertical="center"/>
    </xf>
    <xf numFmtId="0" fontId="21" fillId="0" borderId="70" xfId="3424" applyFont="1" applyBorder="1" applyAlignment="1">
      <alignment horizontal="center" vertical="center"/>
    </xf>
    <xf numFmtId="14" fontId="18" fillId="53" borderId="73" xfId="3424" applyNumberFormat="1" applyFill="1" applyBorder="1" applyAlignment="1">
      <alignment horizontal="center" vertical="center"/>
    </xf>
    <xf numFmtId="14" fontId="18" fillId="53" borderId="72" xfId="3424" applyNumberFormat="1" applyFill="1" applyBorder="1" applyAlignment="1">
      <alignment horizontal="center" vertical="center"/>
    </xf>
    <xf numFmtId="14" fontId="18" fillId="53" borderId="73" xfId="3424" applyNumberFormat="1" applyFill="1" applyBorder="1" applyAlignment="1">
      <alignment horizontal="left" vertical="center" wrapText="1" indent="1"/>
    </xf>
    <xf numFmtId="14" fontId="18" fillId="53" borderId="74" xfId="3424" applyNumberFormat="1" applyFill="1" applyBorder="1" applyAlignment="1">
      <alignment horizontal="left" vertical="center" wrapText="1" indent="1"/>
    </xf>
    <xf numFmtId="14" fontId="18" fillId="53" borderId="65" xfId="3424" applyNumberFormat="1" applyFill="1" applyBorder="1" applyAlignment="1">
      <alignment horizontal="left" vertical="center" wrapText="1" indent="1"/>
    </xf>
    <xf numFmtId="14" fontId="18" fillId="0" borderId="73" xfId="3424" applyNumberFormat="1" applyBorder="1" applyAlignment="1">
      <alignment horizontal="center" vertical="center"/>
    </xf>
    <xf numFmtId="14" fontId="18" fillId="0" borderId="72" xfId="3424" applyNumberFormat="1" applyBorder="1" applyAlignment="1">
      <alignment horizontal="center" vertical="center"/>
    </xf>
    <xf numFmtId="14" fontId="18" fillId="0" borderId="73" xfId="3424" applyNumberFormat="1" applyBorder="1" applyAlignment="1">
      <alignment horizontal="center" vertical="center" wrapText="1"/>
    </xf>
    <xf numFmtId="14" fontId="18" fillId="0" borderId="74" xfId="3424" applyNumberFormat="1" applyBorder="1" applyAlignment="1">
      <alignment horizontal="center" vertical="center" wrapText="1"/>
    </xf>
    <xf numFmtId="14" fontId="18" fillId="0" borderId="101" xfId="3424" applyNumberFormat="1" applyBorder="1" applyAlignment="1">
      <alignment horizontal="center" vertical="center" wrapText="1"/>
    </xf>
    <xf numFmtId="14" fontId="18" fillId="53" borderId="73" xfId="5443" applyNumberFormat="1" applyFont="1" applyFill="1" applyBorder="1" applyAlignment="1">
      <alignment horizontal="center" vertical="center"/>
    </xf>
    <xf numFmtId="14" fontId="18" fillId="53" borderId="72" xfId="5443" applyNumberFormat="1" applyFont="1" applyFill="1" applyBorder="1" applyAlignment="1">
      <alignment horizontal="center" vertical="center"/>
    </xf>
    <xf numFmtId="14" fontId="18" fillId="53" borderId="73" xfId="5443" applyNumberFormat="1" applyFont="1" applyFill="1" applyBorder="1" applyAlignment="1">
      <alignment horizontal="left" vertical="center" wrapText="1" indent="1"/>
    </xf>
    <xf numFmtId="14" fontId="18" fillId="53" borderId="74" xfId="5443" applyNumberFormat="1" applyFont="1" applyFill="1" applyBorder="1" applyAlignment="1">
      <alignment horizontal="left" vertical="center" wrapText="1" indent="1"/>
    </xf>
    <xf numFmtId="14" fontId="18" fillId="53" borderId="65" xfId="5443" applyNumberFormat="1" applyFont="1" applyFill="1" applyBorder="1" applyAlignment="1">
      <alignment horizontal="left" vertical="center" wrapText="1" indent="1"/>
    </xf>
    <xf numFmtId="14" fontId="18" fillId="0" borderId="65" xfId="3424" applyNumberFormat="1" applyBorder="1" applyAlignment="1">
      <alignment horizontal="center" vertical="center" wrapText="1"/>
    </xf>
    <xf numFmtId="0" fontId="21" fillId="0" borderId="77" xfId="3424" applyFont="1" applyBorder="1" applyAlignment="1">
      <alignment horizontal="center" vertical="center"/>
    </xf>
    <xf numFmtId="0" fontId="18" fillId="0" borderId="75" xfId="5443" applyFont="1" applyBorder="1" applyAlignment="1">
      <alignment horizontal="center" vertical="center"/>
    </xf>
    <xf numFmtId="0" fontId="18" fillId="0" borderId="69" xfId="5443" applyFont="1" applyBorder="1" applyAlignment="1">
      <alignment horizontal="center" vertical="center"/>
    </xf>
    <xf numFmtId="0" fontId="20" fillId="0" borderId="69" xfId="3424" applyFont="1" applyBorder="1" applyAlignment="1">
      <alignment horizontal="center" vertical="center"/>
    </xf>
    <xf numFmtId="0" fontId="18" fillId="0" borderId="76" xfId="5443" applyFont="1" applyBorder="1" applyAlignment="1">
      <alignment horizontal="center" vertical="center"/>
    </xf>
    <xf numFmtId="0" fontId="59" fillId="25" borderId="69" xfId="3424" applyFont="1" applyFill="1" applyBorder="1" applyAlignment="1">
      <alignment horizontal="left" vertical="center" indent="3"/>
    </xf>
    <xf numFmtId="0" fontId="75" fillId="25" borderId="69" xfId="3424" applyFont="1" applyFill="1" applyBorder="1" applyAlignment="1">
      <alignment horizontal="left" vertical="center" indent="3"/>
    </xf>
    <xf numFmtId="0" fontId="58" fillId="55" borderId="69" xfId="5443" applyFont="1" applyFill="1" applyBorder="1" applyAlignment="1">
      <alignment horizontal="left" vertical="center" indent="3"/>
    </xf>
    <xf numFmtId="0" fontId="20" fillId="0" borderId="75" xfId="3424" applyFont="1" applyBorder="1" applyAlignment="1">
      <alignment horizontal="center" vertical="center"/>
    </xf>
    <xf numFmtId="0" fontId="20" fillId="0" borderId="76" xfId="3424" applyFont="1" applyBorder="1" applyAlignment="1">
      <alignment horizontal="center" vertical="center"/>
    </xf>
    <xf numFmtId="0" fontId="47" fillId="45" borderId="71" xfId="0" applyFont="1" applyFill="1" applyBorder="1" applyAlignment="1">
      <alignment horizontal="left" vertical="center" wrapText="1" indent="1"/>
    </xf>
    <xf numFmtId="0" fontId="47" fillId="45" borderId="105" xfId="0" applyFont="1" applyFill="1" applyBorder="1" applyAlignment="1">
      <alignment horizontal="left" vertical="center" wrapText="1" indent="1"/>
    </xf>
    <xf numFmtId="0" fontId="47" fillId="45" borderId="85" xfId="0" applyFont="1" applyFill="1" applyBorder="1" applyAlignment="1">
      <alignment horizontal="left" vertical="center" wrapText="1" indent="1"/>
    </xf>
    <xf numFmtId="0" fontId="47" fillId="45" borderId="106" xfId="0" applyFont="1" applyFill="1" applyBorder="1" applyAlignment="1">
      <alignment horizontal="left" vertical="center" wrapText="1" indent="1"/>
    </xf>
    <xf numFmtId="0" fontId="67" fillId="29" borderId="24" xfId="727" applyFont="1" applyFill="1" applyBorder="1" applyAlignment="1">
      <alignment horizontal="center" vertical="center" wrapText="1"/>
    </xf>
    <xf numFmtId="0" fontId="0" fillId="0" borderId="26" xfId="0" applyBorder="1" applyAlignment="1">
      <alignment horizontal="center" vertical="center" wrapText="1"/>
    </xf>
    <xf numFmtId="0" fontId="0" fillId="0" borderId="30" xfId="0" applyBorder="1" applyAlignment="1">
      <alignment horizontal="center" vertical="center" wrapText="1"/>
    </xf>
    <xf numFmtId="0" fontId="0" fillId="0" borderId="33" xfId="0" applyBorder="1" applyAlignment="1">
      <alignment horizontal="center" vertical="center" wrapText="1"/>
    </xf>
    <xf numFmtId="0" fontId="0" fillId="0" borderId="31" xfId="0" applyBorder="1" applyAlignment="1">
      <alignment horizontal="center" vertical="center" wrapText="1"/>
    </xf>
    <xf numFmtId="0" fontId="0" fillId="0" borderId="34" xfId="0" applyBorder="1" applyAlignment="1">
      <alignment horizontal="center" vertical="center" wrapText="1"/>
    </xf>
    <xf numFmtId="0" fontId="67" fillId="46" borderId="67" xfId="727" applyFont="1" applyFill="1" applyBorder="1" applyAlignment="1">
      <alignment vertical="center" wrapText="1"/>
    </xf>
    <xf numFmtId="0" fontId="0" fillId="0" borderId="102" xfId="0" applyBorder="1" applyAlignment="1">
      <alignment vertical="center" wrapText="1"/>
    </xf>
    <xf numFmtId="0" fontId="0" fillId="0" borderId="103" xfId="0" applyBorder="1" applyAlignment="1">
      <alignment vertical="center" wrapText="1"/>
    </xf>
    <xf numFmtId="0" fontId="58" fillId="44" borderId="30" xfId="0" applyFont="1" applyFill="1" applyBorder="1" applyAlignment="1">
      <alignment horizontal="left" vertical="center" wrapText="1"/>
    </xf>
    <xf numFmtId="0" fontId="0" fillId="0" borderId="83" xfId="0" applyBorder="1" applyAlignment="1"/>
    <xf numFmtId="0" fontId="22" fillId="45" borderId="30" xfId="0" applyFont="1" applyFill="1" applyBorder="1" applyAlignment="1">
      <alignment horizontal="center" vertical="center" wrapText="1"/>
    </xf>
    <xf numFmtId="0" fontId="0" fillId="0" borderId="0" xfId="0" applyBorder="1" applyAlignment="1"/>
    <xf numFmtId="0" fontId="0" fillId="0" borderId="32" xfId="0" applyBorder="1" applyAlignment="1"/>
    <xf numFmtId="0" fontId="61" fillId="37" borderId="47" xfId="3" applyFont="1" applyFill="1" applyBorder="1" applyAlignment="1">
      <alignment horizontal="left" vertical="center" wrapText="1"/>
    </xf>
    <xf numFmtId="0" fontId="61" fillId="37" borderId="25" xfId="3" applyFont="1" applyFill="1" applyBorder="1" applyAlignment="1">
      <alignment horizontal="left" vertical="center" wrapText="1"/>
    </xf>
    <xf numFmtId="0" fontId="61" fillId="37" borderId="43" xfId="3" applyFont="1" applyFill="1" applyBorder="1" applyAlignment="1">
      <alignment horizontal="left" vertical="center" wrapText="1"/>
    </xf>
    <xf numFmtId="0" fontId="18" fillId="46" borderId="73" xfId="0" applyFont="1" applyFill="1" applyBorder="1" applyAlignment="1">
      <alignment horizontal="center" vertical="center"/>
    </xf>
    <xf numFmtId="0" fontId="18" fillId="46" borderId="65" xfId="0" applyFont="1" applyFill="1" applyBorder="1" applyAlignment="1">
      <alignment horizontal="center" vertical="center"/>
    </xf>
    <xf numFmtId="0" fontId="18" fillId="29" borderId="69" xfId="0" applyFont="1" applyFill="1" applyBorder="1" applyAlignment="1">
      <alignment horizontal="left" vertical="center" indent="1"/>
    </xf>
    <xf numFmtId="0" fontId="0" fillId="29" borderId="76" xfId="0" applyFill="1" applyBorder="1" applyAlignment="1">
      <alignment horizontal="left" vertical="center" indent="1"/>
    </xf>
    <xf numFmtId="0" fontId="0" fillId="29" borderId="69" xfId="0" applyFill="1" applyBorder="1" applyAlignment="1">
      <alignment horizontal="left" vertical="center" indent="1"/>
    </xf>
    <xf numFmtId="0" fontId="0" fillId="29" borderId="70" xfId="0" applyFill="1" applyBorder="1" applyAlignment="1">
      <alignment horizontal="left" vertical="center" indent="1"/>
    </xf>
    <xf numFmtId="0" fontId="0" fillId="29" borderId="77" xfId="0" applyFill="1" applyBorder="1" applyAlignment="1">
      <alignment horizontal="left" vertical="center" indent="1"/>
    </xf>
    <xf numFmtId="0" fontId="22" fillId="35" borderId="25" xfId="3" applyFont="1" applyFill="1" applyBorder="1" applyAlignment="1">
      <alignment horizontal="center" vertical="center" wrapText="1"/>
    </xf>
    <xf numFmtId="0" fontId="22" fillId="35" borderId="43" xfId="3" applyFont="1" applyFill="1" applyBorder="1" applyAlignment="1">
      <alignment horizontal="center" vertical="center" wrapText="1"/>
    </xf>
    <xf numFmtId="0" fontId="18" fillId="46" borderId="0" xfId="0" quotePrefix="1" applyFont="1" applyFill="1" applyBorder="1" applyAlignment="1">
      <alignment horizontal="left" vertical="center" wrapText="1"/>
    </xf>
    <xf numFmtId="0" fontId="18" fillId="46" borderId="33" xfId="0" quotePrefix="1" applyFont="1" applyFill="1" applyBorder="1" applyAlignment="1">
      <alignment horizontal="left" vertical="center" wrapText="1"/>
    </xf>
    <xf numFmtId="0" fontId="18" fillId="46" borderId="87" xfId="0" quotePrefix="1" applyFont="1" applyFill="1" applyBorder="1" applyAlignment="1">
      <alignment horizontal="left" vertical="center" wrapText="1"/>
    </xf>
    <xf numFmtId="0" fontId="18" fillId="46" borderId="86" xfId="0" quotePrefix="1" applyFont="1" applyFill="1" applyBorder="1" applyAlignment="1">
      <alignment horizontal="left" vertical="center" wrapText="1"/>
    </xf>
    <xf numFmtId="0" fontId="51" fillId="52" borderId="80" xfId="0" applyFont="1" applyFill="1" applyBorder="1" applyAlignment="1">
      <alignment horizontal="left" vertical="center"/>
    </xf>
    <xf numFmtId="0" fontId="51" fillId="52" borderId="88" xfId="0" applyFont="1" applyFill="1" applyBorder="1" applyAlignment="1">
      <alignment horizontal="left" vertical="center"/>
    </xf>
    <xf numFmtId="0" fontId="51" fillId="52" borderId="40" xfId="0" applyFont="1" applyFill="1" applyBorder="1" applyAlignment="1">
      <alignment horizontal="left" vertical="center"/>
    </xf>
    <xf numFmtId="0" fontId="82" fillId="32" borderId="33" xfId="0" applyFont="1" applyFill="1" applyBorder="1" applyAlignment="1">
      <alignment horizontal="right" vertical="center" textRotation="90"/>
    </xf>
    <xf numFmtId="0" fontId="83" fillId="32" borderId="33" xfId="0" applyFont="1" applyFill="1" applyBorder="1" applyAlignment="1">
      <alignment horizontal="right" vertical="center" textRotation="90"/>
    </xf>
    <xf numFmtId="0" fontId="18" fillId="29" borderId="70" xfId="0" applyFont="1" applyFill="1" applyBorder="1" applyAlignment="1">
      <alignment horizontal="left" vertical="center" indent="1"/>
    </xf>
    <xf numFmtId="0" fontId="47" fillId="45" borderId="75" xfId="0" applyFont="1" applyFill="1" applyBorder="1" applyAlignment="1">
      <alignment horizontal="left" vertical="center" wrapText="1" indent="1"/>
    </xf>
    <xf numFmtId="0" fontId="47" fillId="45" borderId="69" xfId="0" applyFont="1" applyFill="1" applyBorder="1" applyAlignment="1">
      <alignment horizontal="left" vertical="center" wrapText="1" indent="1"/>
    </xf>
    <xf numFmtId="0" fontId="58" fillId="44" borderId="24" xfId="0" applyFont="1" applyFill="1" applyBorder="1" applyAlignment="1">
      <alignment horizontal="left" vertical="center" wrapText="1"/>
    </xf>
    <xf numFmtId="0" fontId="58" fillId="44" borderId="84" xfId="0" applyFont="1" applyFill="1" applyBorder="1" applyAlignment="1">
      <alignment horizontal="left" vertical="center" wrapText="1"/>
    </xf>
    <xf numFmtId="0" fontId="59" fillId="26" borderId="5" xfId="0" applyFont="1" applyFill="1" applyBorder="1" applyAlignment="1">
      <alignment horizontal="left" vertical="center" indent="1"/>
    </xf>
    <xf numFmtId="0" fontId="59" fillId="26" borderId="6" xfId="0" applyFont="1" applyFill="1" applyBorder="1" applyAlignment="1">
      <alignment horizontal="left" vertical="center" indent="1"/>
    </xf>
    <xf numFmtId="0" fontId="59" fillId="26" borderId="7" xfId="0" applyFont="1" applyFill="1" applyBorder="1" applyAlignment="1">
      <alignment horizontal="left" vertical="center" indent="1"/>
    </xf>
    <xf numFmtId="0" fontId="58" fillId="44" borderId="51" xfId="0" applyFont="1" applyFill="1" applyBorder="1" applyAlignment="1">
      <alignment horizontal="center" vertical="center" wrapText="1"/>
    </xf>
    <xf numFmtId="0" fontId="0" fillId="0" borderId="52" xfId="0" applyBorder="1" applyAlignment="1">
      <alignment horizontal="center" vertical="center" wrapText="1"/>
    </xf>
    <xf numFmtId="0" fontId="0" fillId="0" borderId="53" xfId="0" applyBorder="1" applyAlignment="1">
      <alignment horizontal="center" vertical="center" wrapText="1"/>
    </xf>
    <xf numFmtId="0" fontId="67" fillId="46" borderId="67" xfId="727" applyFont="1" applyFill="1" applyBorder="1" applyAlignment="1">
      <alignment horizontal="left" vertical="top" wrapText="1"/>
    </xf>
    <xf numFmtId="0" fontId="67" fillId="46" borderId="41" xfId="727" applyFont="1" applyFill="1" applyBorder="1" applyAlignment="1">
      <alignment horizontal="left" vertical="top" wrapText="1"/>
    </xf>
    <xf numFmtId="0" fontId="47" fillId="45" borderId="1" xfId="0" applyFont="1" applyFill="1" applyBorder="1" applyAlignment="1">
      <alignment horizontal="left" vertical="center" wrapText="1" indent="1"/>
    </xf>
    <xf numFmtId="0" fontId="47" fillId="45" borderId="70" xfId="0" applyFont="1" applyFill="1" applyBorder="1" applyAlignment="1">
      <alignment horizontal="left" vertical="center" wrapText="1" indent="1"/>
    </xf>
    <xf numFmtId="0" fontId="0" fillId="0" borderId="52" xfId="0" applyBorder="1" applyAlignment="1">
      <alignment horizontal="center"/>
    </xf>
    <xf numFmtId="0" fontId="62" fillId="29" borderId="32" xfId="0" applyFont="1" applyFill="1" applyBorder="1" applyAlignment="1">
      <alignment horizontal="left" vertical="center"/>
    </xf>
    <xf numFmtId="0" fontId="78" fillId="29" borderId="32" xfId="0" applyFont="1" applyFill="1" applyBorder="1" applyAlignment="1">
      <alignment horizontal="center" vertical="center" wrapText="1"/>
    </xf>
    <xf numFmtId="0" fontId="62" fillId="29" borderId="0" xfId="0" applyFont="1" applyFill="1" applyBorder="1" applyAlignment="1">
      <alignment horizontal="left" vertical="center"/>
    </xf>
    <xf numFmtId="0" fontId="24" fillId="0" borderId="25" xfId="0" quotePrefix="1" applyFont="1" applyBorder="1" applyAlignment="1">
      <alignment horizontal="center" vertical="center" wrapText="1"/>
    </xf>
    <xf numFmtId="0" fontId="24" fillId="0" borderId="0" xfId="0" quotePrefix="1" applyFont="1" applyBorder="1" applyAlignment="1">
      <alignment horizontal="center" vertical="center" wrapText="1"/>
    </xf>
    <xf numFmtId="0" fontId="49" fillId="29" borderId="24" xfId="0" applyFont="1" applyFill="1" applyBorder="1" applyAlignment="1">
      <alignment horizontal="center" vertical="center"/>
    </xf>
    <xf numFmtId="0" fontId="49" fillId="29" borderId="25" xfId="0" applyFont="1" applyFill="1" applyBorder="1" applyAlignment="1">
      <alignment horizontal="center" vertical="center"/>
    </xf>
    <xf numFmtId="0" fontId="49" fillId="29" borderId="30" xfId="0" applyFont="1" applyFill="1" applyBorder="1" applyAlignment="1">
      <alignment horizontal="center" vertical="center"/>
    </xf>
    <xf numFmtId="0" fontId="49" fillId="29" borderId="0" xfId="0" applyFont="1" applyFill="1" applyBorder="1" applyAlignment="1">
      <alignment horizontal="center" vertical="center"/>
    </xf>
    <xf numFmtId="0" fontId="47" fillId="45" borderId="30" xfId="0" applyFont="1" applyFill="1" applyBorder="1" applyAlignment="1">
      <alignment horizontal="left" vertical="center" wrapText="1" indent="1"/>
    </xf>
    <xf numFmtId="0" fontId="47" fillId="45" borderId="83" xfId="0" applyFont="1" applyFill="1" applyBorder="1" applyAlignment="1">
      <alignment horizontal="left" vertical="center" wrapText="1" indent="1"/>
    </xf>
  </cellXfs>
  <cellStyles count="5449">
    <cellStyle name="%" xfId="2148" xr:uid="{00000000-0005-0000-0000-000000000000}"/>
    <cellStyle name="20 % - Accent1 2" xfId="31" xr:uid="{00000000-0005-0000-0000-000001000000}"/>
    <cellStyle name="20 % - Accent2 2" xfId="30" xr:uid="{00000000-0005-0000-0000-000002000000}"/>
    <cellStyle name="20 % - Accent3 2" xfId="29" xr:uid="{00000000-0005-0000-0000-000003000000}"/>
    <cellStyle name="20 % - Accent4 2" xfId="33" xr:uid="{00000000-0005-0000-0000-000004000000}"/>
    <cellStyle name="20 % - Accent5 2" xfId="35" xr:uid="{00000000-0005-0000-0000-000005000000}"/>
    <cellStyle name="20 % - Accent6 2" xfId="32" xr:uid="{00000000-0005-0000-0000-000006000000}"/>
    <cellStyle name="40 % - Accent1 2" xfId="34" xr:uid="{00000000-0005-0000-0000-000007000000}"/>
    <cellStyle name="40 % - Accent2 2" xfId="28" xr:uid="{00000000-0005-0000-0000-000008000000}"/>
    <cellStyle name="40 % - Accent3 2" xfId="27" xr:uid="{00000000-0005-0000-0000-000009000000}"/>
    <cellStyle name="40 % - Accent4 2" xfId="26" xr:uid="{00000000-0005-0000-0000-00000A000000}"/>
    <cellStyle name="40 % - Accent5 2" xfId="25" xr:uid="{00000000-0005-0000-0000-00000B000000}"/>
    <cellStyle name="40 % - Accent6 2" xfId="24" xr:uid="{00000000-0005-0000-0000-00000C000000}"/>
    <cellStyle name="60 % - Accent1 2" xfId="23" xr:uid="{00000000-0005-0000-0000-00000D000000}"/>
    <cellStyle name="60 % - Accent2 2" xfId="21" xr:uid="{00000000-0005-0000-0000-00000E000000}"/>
    <cellStyle name="60 % - Accent3 2" xfId="22" xr:uid="{00000000-0005-0000-0000-00000F000000}"/>
    <cellStyle name="60 % - Accent4 2" xfId="36" xr:uid="{00000000-0005-0000-0000-000010000000}"/>
    <cellStyle name="60 % - Accent5 2" xfId="37" xr:uid="{00000000-0005-0000-0000-000011000000}"/>
    <cellStyle name="60 % - Accent6 2" xfId="38" xr:uid="{00000000-0005-0000-0000-000012000000}"/>
    <cellStyle name="Accent1 2" xfId="39" xr:uid="{00000000-0005-0000-0000-000013000000}"/>
    <cellStyle name="Accent2 2" xfId="40" xr:uid="{00000000-0005-0000-0000-000014000000}"/>
    <cellStyle name="Accent3 2" xfId="41" xr:uid="{00000000-0005-0000-0000-000015000000}"/>
    <cellStyle name="Accent4 2" xfId="42" xr:uid="{00000000-0005-0000-0000-000016000000}"/>
    <cellStyle name="Accent5 2" xfId="43" xr:uid="{00000000-0005-0000-0000-000017000000}"/>
    <cellStyle name="Accent6 2" xfId="44" xr:uid="{00000000-0005-0000-0000-000018000000}"/>
    <cellStyle name="Avertissement 2" xfId="45" xr:uid="{00000000-0005-0000-0000-000019000000}"/>
    <cellStyle name="Calcul 2" xfId="46" xr:uid="{00000000-0005-0000-0000-00001A000000}"/>
    <cellStyle name="Calcul 2 2" xfId="1399" xr:uid="{00000000-0005-0000-0000-00001B000000}"/>
    <cellStyle name="Calcul 2 2 2" xfId="4764" xr:uid="{00000000-0005-0000-0000-00001C000000}"/>
    <cellStyle name="Calcul 2 3" xfId="1400" xr:uid="{00000000-0005-0000-0000-00001D000000}"/>
    <cellStyle name="Calcul 2 3 2" xfId="4765" xr:uid="{00000000-0005-0000-0000-00001E000000}"/>
    <cellStyle name="Calcul 2 4" xfId="2089" xr:uid="{00000000-0005-0000-0000-00001F000000}"/>
    <cellStyle name="Cellule liée 2" xfId="47" xr:uid="{00000000-0005-0000-0000-000020000000}"/>
    <cellStyle name="Comma" xfId="2078" xr:uid="{00000000-0005-0000-0000-000021000000}"/>
    <cellStyle name="Comma 2" xfId="5444" xr:uid="{00000000-0005-0000-0000-000022000000}"/>
    <cellStyle name="Commentaire 2" xfId="48" xr:uid="{00000000-0005-0000-0000-000023000000}"/>
    <cellStyle name="Commentaire 2 2" xfId="1401" xr:uid="{00000000-0005-0000-0000-000024000000}"/>
    <cellStyle name="Commentaire 2 2 2" xfId="4766" xr:uid="{00000000-0005-0000-0000-000025000000}"/>
    <cellStyle name="Commentaire 2 3" xfId="1402" xr:uid="{00000000-0005-0000-0000-000026000000}"/>
    <cellStyle name="Commentaire 2 3 2" xfId="4767" xr:uid="{00000000-0005-0000-0000-000027000000}"/>
    <cellStyle name="Commentaire 2 4" xfId="2090" xr:uid="{00000000-0005-0000-0000-000028000000}"/>
    <cellStyle name="Entrée 2" xfId="49" xr:uid="{00000000-0005-0000-0000-000029000000}"/>
    <cellStyle name="Entrée 2 2" xfId="1403" xr:uid="{00000000-0005-0000-0000-00002A000000}"/>
    <cellStyle name="Entrée 2 2 2" xfId="4768" xr:uid="{00000000-0005-0000-0000-00002B000000}"/>
    <cellStyle name="Entrée 2 3" xfId="1404" xr:uid="{00000000-0005-0000-0000-00002C000000}"/>
    <cellStyle name="Entrée 2 3 2" xfId="4769" xr:uid="{00000000-0005-0000-0000-00002D000000}"/>
    <cellStyle name="Entrée 2 4" xfId="2091" xr:uid="{00000000-0005-0000-0000-00002E000000}"/>
    <cellStyle name="Insatisfaisant 2" xfId="50" xr:uid="{00000000-0005-0000-0000-00002F000000}"/>
    <cellStyle name="Lien hypertexte" xfId="2" builtinId="8"/>
    <cellStyle name="Lien hypertexte 2" xfId="728" xr:uid="{00000000-0005-0000-0000-000031000000}"/>
    <cellStyle name="Lien hypertexte 2 2" xfId="4094" xr:uid="{00000000-0005-0000-0000-000032000000}"/>
    <cellStyle name="Lien hypertexte 2 3" xfId="2149" xr:uid="{00000000-0005-0000-0000-000033000000}"/>
    <cellStyle name="Milliers 2" xfId="5442" xr:uid="{00000000-0005-0000-0000-000034000000}"/>
    <cellStyle name="Neutre 2" xfId="51" xr:uid="{00000000-0005-0000-0000-000035000000}"/>
    <cellStyle name="Normal" xfId="0" builtinId="0"/>
    <cellStyle name="Normal 10" xfId="127" xr:uid="{00000000-0005-0000-0000-000037000000}"/>
    <cellStyle name="Normal 10 2" xfId="202" xr:uid="{00000000-0005-0000-0000-000038000000}"/>
    <cellStyle name="Normal 10 2 2" xfId="352" xr:uid="{00000000-0005-0000-0000-000039000000}"/>
    <cellStyle name="Normal 10 2 2 2" xfId="652" xr:uid="{00000000-0005-0000-0000-00003A000000}"/>
    <cellStyle name="Normal 10 2 2 2 2" xfId="1325" xr:uid="{00000000-0005-0000-0000-00003B000000}"/>
    <cellStyle name="Normal 10 2 2 2 2 2" xfId="4690" xr:uid="{00000000-0005-0000-0000-00003C000000}"/>
    <cellStyle name="Normal 10 2 2 2 2 3" xfId="2836" xr:uid="{00000000-0005-0000-0000-00003D000000}"/>
    <cellStyle name="Normal 10 2 2 2 3" xfId="1409" xr:uid="{00000000-0005-0000-0000-00003E000000}"/>
    <cellStyle name="Normal 10 2 2 2 3 2" xfId="4774" xr:uid="{00000000-0005-0000-0000-00003F000000}"/>
    <cellStyle name="Normal 10 2 2 2 4" xfId="4020" xr:uid="{00000000-0005-0000-0000-000040000000}"/>
    <cellStyle name="Normal 10 2 2 2 5" xfId="2168" xr:uid="{00000000-0005-0000-0000-000041000000}"/>
    <cellStyle name="Normal 10 2 2 3" xfId="1025" xr:uid="{00000000-0005-0000-0000-000042000000}"/>
    <cellStyle name="Normal 10 2 2 3 2" xfId="4390" xr:uid="{00000000-0005-0000-0000-000043000000}"/>
    <cellStyle name="Normal 10 2 2 3 3" xfId="2835" xr:uid="{00000000-0005-0000-0000-000044000000}"/>
    <cellStyle name="Normal 10 2 2 4" xfId="1410" xr:uid="{00000000-0005-0000-0000-000045000000}"/>
    <cellStyle name="Normal 10 2 2 4 2" xfId="4775" xr:uid="{00000000-0005-0000-0000-000046000000}"/>
    <cellStyle name="Normal 10 2 2 5" xfId="3720" xr:uid="{00000000-0005-0000-0000-000047000000}"/>
    <cellStyle name="Normal 10 2 2 6" xfId="2167" xr:uid="{00000000-0005-0000-0000-000048000000}"/>
    <cellStyle name="Normal 10 2 3" xfId="502" xr:uid="{00000000-0005-0000-0000-000049000000}"/>
    <cellStyle name="Normal 10 2 3 2" xfId="1175" xr:uid="{00000000-0005-0000-0000-00004A000000}"/>
    <cellStyle name="Normal 10 2 3 2 2" xfId="4540" xr:uid="{00000000-0005-0000-0000-00004B000000}"/>
    <cellStyle name="Normal 10 2 3 2 3" xfId="2837" xr:uid="{00000000-0005-0000-0000-00004C000000}"/>
    <cellStyle name="Normal 10 2 3 3" xfId="1411" xr:uid="{00000000-0005-0000-0000-00004D000000}"/>
    <cellStyle name="Normal 10 2 3 3 2" xfId="4776" xr:uid="{00000000-0005-0000-0000-00004E000000}"/>
    <cellStyle name="Normal 10 2 3 4" xfId="3870" xr:uid="{00000000-0005-0000-0000-00004F000000}"/>
    <cellStyle name="Normal 10 2 3 5" xfId="2169" xr:uid="{00000000-0005-0000-0000-000050000000}"/>
    <cellStyle name="Normal 10 2 4" xfId="875" xr:uid="{00000000-0005-0000-0000-000051000000}"/>
    <cellStyle name="Normal 10 2 4 2" xfId="4240" xr:uid="{00000000-0005-0000-0000-000052000000}"/>
    <cellStyle name="Normal 10 2 4 3" xfId="2834" xr:uid="{00000000-0005-0000-0000-000053000000}"/>
    <cellStyle name="Normal 10 2 5" xfId="1412" xr:uid="{00000000-0005-0000-0000-000054000000}"/>
    <cellStyle name="Normal 10 2 5 2" xfId="4777" xr:uid="{00000000-0005-0000-0000-000055000000}"/>
    <cellStyle name="Normal 10 2 6" xfId="3570" xr:uid="{00000000-0005-0000-0000-000056000000}"/>
    <cellStyle name="Normal 10 2 7" xfId="2166" xr:uid="{00000000-0005-0000-0000-000057000000}"/>
    <cellStyle name="Normal 10 3" xfId="277" xr:uid="{00000000-0005-0000-0000-000058000000}"/>
    <cellStyle name="Normal 10 3 2" xfId="577" xr:uid="{00000000-0005-0000-0000-000059000000}"/>
    <cellStyle name="Normal 10 3 2 2" xfId="1250" xr:uid="{00000000-0005-0000-0000-00005A000000}"/>
    <cellStyle name="Normal 10 3 2 2 2" xfId="4615" xr:uid="{00000000-0005-0000-0000-00005B000000}"/>
    <cellStyle name="Normal 10 3 2 2 3" xfId="2839" xr:uid="{00000000-0005-0000-0000-00005C000000}"/>
    <cellStyle name="Normal 10 3 2 3" xfId="1413" xr:uid="{00000000-0005-0000-0000-00005D000000}"/>
    <cellStyle name="Normal 10 3 2 3 2" xfId="4778" xr:uid="{00000000-0005-0000-0000-00005E000000}"/>
    <cellStyle name="Normal 10 3 2 4" xfId="3945" xr:uid="{00000000-0005-0000-0000-00005F000000}"/>
    <cellStyle name="Normal 10 3 2 5" xfId="2171" xr:uid="{00000000-0005-0000-0000-000060000000}"/>
    <cellStyle name="Normal 10 3 3" xfId="950" xr:uid="{00000000-0005-0000-0000-000061000000}"/>
    <cellStyle name="Normal 10 3 3 2" xfId="4315" xr:uid="{00000000-0005-0000-0000-000062000000}"/>
    <cellStyle name="Normal 10 3 3 3" xfId="2838" xr:uid="{00000000-0005-0000-0000-000063000000}"/>
    <cellStyle name="Normal 10 3 4" xfId="1414" xr:uid="{00000000-0005-0000-0000-000064000000}"/>
    <cellStyle name="Normal 10 3 4 2" xfId="4779" xr:uid="{00000000-0005-0000-0000-000065000000}"/>
    <cellStyle name="Normal 10 3 5" xfId="3645" xr:uid="{00000000-0005-0000-0000-000066000000}"/>
    <cellStyle name="Normal 10 3 6" xfId="2170" xr:uid="{00000000-0005-0000-0000-000067000000}"/>
    <cellStyle name="Normal 10 4" xfId="427" xr:uid="{00000000-0005-0000-0000-000068000000}"/>
    <cellStyle name="Normal 10 4 2" xfId="1100" xr:uid="{00000000-0005-0000-0000-000069000000}"/>
    <cellStyle name="Normal 10 4 2 2" xfId="4465" xr:uid="{00000000-0005-0000-0000-00006A000000}"/>
    <cellStyle name="Normal 10 4 2 3" xfId="2840" xr:uid="{00000000-0005-0000-0000-00006B000000}"/>
    <cellStyle name="Normal 10 4 3" xfId="1415" xr:uid="{00000000-0005-0000-0000-00006C000000}"/>
    <cellStyle name="Normal 10 4 3 2" xfId="4780" xr:uid="{00000000-0005-0000-0000-00006D000000}"/>
    <cellStyle name="Normal 10 4 4" xfId="3795" xr:uid="{00000000-0005-0000-0000-00006E000000}"/>
    <cellStyle name="Normal 10 4 5" xfId="2172" xr:uid="{00000000-0005-0000-0000-00006F000000}"/>
    <cellStyle name="Normal 10 5" xfId="713" xr:uid="{00000000-0005-0000-0000-000070000000}"/>
    <cellStyle name="Normal 10 5 2" xfId="1386" xr:uid="{00000000-0005-0000-0000-000071000000}"/>
    <cellStyle name="Normal 10 5 2 2" xfId="4751" xr:uid="{00000000-0005-0000-0000-000072000000}"/>
    <cellStyle name="Normal 10 5 2 3" xfId="2841" xr:uid="{00000000-0005-0000-0000-000073000000}"/>
    <cellStyle name="Normal 10 5 3" xfId="1416" xr:uid="{00000000-0005-0000-0000-000074000000}"/>
    <cellStyle name="Normal 10 5 3 2" xfId="4781" xr:uid="{00000000-0005-0000-0000-000075000000}"/>
    <cellStyle name="Normal 10 5 4" xfId="4081" xr:uid="{00000000-0005-0000-0000-000076000000}"/>
    <cellStyle name="Normal 10 5 5" xfId="2173" xr:uid="{00000000-0005-0000-0000-000077000000}"/>
    <cellStyle name="Normal 10 6" xfId="800" xr:uid="{00000000-0005-0000-0000-000078000000}"/>
    <cellStyle name="Normal 10 6 2" xfId="4165" xr:uid="{00000000-0005-0000-0000-000079000000}"/>
    <cellStyle name="Normal 10 6 3" xfId="2813" xr:uid="{00000000-0005-0000-0000-00007A000000}"/>
    <cellStyle name="Normal 10 7" xfId="1417" xr:uid="{00000000-0005-0000-0000-00007B000000}"/>
    <cellStyle name="Normal 10 7 2" xfId="4782" xr:uid="{00000000-0005-0000-0000-00007C000000}"/>
    <cellStyle name="Normal 10 8" xfId="3495" xr:uid="{00000000-0005-0000-0000-00007D000000}"/>
    <cellStyle name="Normal 10 9" xfId="2142" xr:uid="{00000000-0005-0000-0000-00007E000000}"/>
    <cellStyle name="Normal 11" xfId="719" xr:uid="{00000000-0005-0000-0000-00007F000000}"/>
    <cellStyle name="Normal 11 2" xfId="1392" xr:uid="{00000000-0005-0000-0000-000080000000}"/>
    <cellStyle name="Normal 11 2 2" xfId="4757" xr:uid="{00000000-0005-0000-0000-000081000000}"/>
    <cellStyle name="Normal 11 2 3" xfId="2757" xr:uid="{00000000-0005-0000-0000-000082000000}"/>
    <cellStyle name="Normal 11 3" xfId="1418" xr:uid="{00000000-0005-0000-0000-000083000000}"/>
    <cellStyle name="Normal 11 3 2" xfId="4783" xr:uid="{00000000-0005-0000-0000-000084000000}"/>
    <cellStyle name="Normal 11 4" xfId="4087" xr:uid="{00000000-0005-0000-0000-000085000000}"/>
    <cellStyle name="Normal 11 5" xfId="2079" xr:uid="{00000000-0005-0000-0000-000086000000}"/>
    <cellStyle name="Normal 12" xfId="723" xr:uid="{00000000-0005-0000-0000-000087000000}"/>
    <cellStyle name="Normal 12 2" xfId="1396" xr:uid="{00000000-0005-0000-0000-000088000000}"/>
    <cellStyle name="Normal 12 2 2" xfId="4761" xr:uid="{00000000-0005-0000-0000-000089000000}"/>
    <cellStyle name="Normal 12 2 3" xfId="2842" xr:uid="{00000000-0005-0000-0000-00008A000000}"/>
    <cellStyle name="Normal 12 3" xfId="1419" xr:uid="{00000000-0005-0000-0000-00008B000000}"/>
    <cellStyle name="Normal 12 3 2" xfId="4784" xr:uid="{00000000-0005-0000-0000-00008C000000}"/>
    <cellStyle name="Normal 12 4" xfId="4091" xr:uid="{00000000-0005-0000-0000-00008D000000}"/>
    <cellStyle name="Normal 12 5" xfId="2174" xr:uid="{00000000-0005-0000-0000-00008E000000}"/>
    <cellStyle name="Normal 13" xfId="724" xr:uid="{00000000-0005-0000-0000-00008F000000}"/>
    <cellStyle name="Normal 13 2" xfId="1397" xr:uid="{00000000-0005-0000-0000-000090000000}"/>
    <cellStyle name="Normal 13 2 2" xfId="4762" xr:uid="{00000000-0005-0000-0000-000091000000}"/>
    <cellStyle name="Normal 13 2 3" xfId="2843" xr:uid="{00000000-0005-0000-0000-000092000000}"/>
    <cellStyle name="Normal 13 3" xfId="1420" xr:uid="{00000000-0005-0000-0000-000093000000}"/>
    <cellStyle name="Normal 13 3 2" xfId="4785" xr:uid="{00000000-0005-0000-0000-000094000000}"/>
    <cellStyle name="Normal 13 4" xfId="4092" xr:uid="{00000000-0005-0000-0000-000095000000}"/>
    <cellStyle name="Normal 13 5" xfId="2175" xr:uid="{00000000-0005-0000-0000-000096000000}"/>
    <cellStyle name="Normal 14" xfId="725" xr:uid="{00000000-0005-0000-0000-000097000000}"/>
    <cellStyle name="Normal 14 2" xfId="1398" xr:uid="{00000000-0005-0000-0000-000098000000}"/>
    <cellStyle name="Normal 14 2 2" xfId="4763" xr:uid="{00000000-0005-0000-0000-000099000000}"/>
    <cellStyle name="Normal 14 2 3" xfId="3424" xr:uid="{00000000-0005-0000-0000-00009A000000}"/>
    <cellStyle name="Normal 14 3" xfId="1421" xr:uid="{00000000-0005-0000-0000-00009B000000}"/>
    <cellStyle name="Normal 14 3 2" xfId="4786" xr:uid="{00000000-0005-0000-0000-00009C000000}"/>
    <cellStyle name="Normal 14 4" xfId="4093" xr:uid="{00000000-0005-0000-0000-00009D000000}"/>
    <cellStyle name="Normal 14 5" xfId="2756" xr:uid="{00000000-0005-0000-0000-00009E000000}"/>
    <cellStyle name="Normal 15" xfId="727" xr:uid="{00000000-0005-0000-0000-00009F000000}"/>
    <cellStyle name="Normal 16" xfId="730" xr:uid="{00000000-0005-0000-0000-0000A0000000}"/>
    <cellStyle name="Normal 17" xfId="729" xr:uid="{00000000-0005-0000-0000-0000A1000000}"/>
    <cellStyle name="Normal 17 2" xfId="4095" xr:uid="{00000000-0005-0000-0000-0000A2000000}"/>
    <cellStyle name="Normal 18" xfId="3425" xr:uid="{00000000-0005-0000-0000-0000A3000000}"/>
    <cellStyle name="Normal 19" xfId="5445" xr:uid="{00000000-0005-0000-0000-0000A4000000}"/>
    <cellStyle name="Normal 2" xfId="1" xr:uid="{00000000-0005-0000-0000-0000A5000000}"/>
    <cellStyle name="Normal 2 10" xfId="92" xr:uid="{00000000-0005-0000-0000-0000A6000000}"/>
    <cellStyle name="Normal 2 10 10" xfId="2107" xr:uid="{00000000-0005-0000-0000-0000A7000000}"/>
    <cellStyle name="Normal 2 10 2" xfId="118" xr:uid="{00000000-0005-0000-0000-0000A8000000}"/>
    <cellStyle name="Normal 2 10 2 2" xfId="193" xr:uid="{00000000-0005-0000-0000-0000A9000000}"/>
    <cellStyle name="Normal 2 10 2 2 2" xfId="343" xr:uid="{00000000-0005-0000-0000-0000AA000000}"/>
    <cellStyle name="Normal 2 10 2 2 2 2" xfId="643" xr:uid="{00000000-0005-0000-0000-0000AB000000}"/>
    <cellStyle name="Normal 2 10 2 2 2 2 2" xfId="1316" xr:uid="{00000000-0005-0000-0000-0000AC000000}"/>
    <cellStyle name="Normal 2 10 2 2 2 2 2 2" xfId="4681" xr:uid="{00000000-0005-0000-0000-0000AD000000}"/>
    <cellStyle name="Normal 2 10 2 2 2 2 2 3" xfId="2846" xr:uid="{00000000-0005-0000-0000-0000AE000000}"/>
    <cellStyle name="Normal 2 10 2 2 2 2 3" xfId="1422" xr:uid="{00000000-0005-0000-0000-0000AF000000}"/>
    <cellStyle name="Normal 2 10 2 2 2 2 3 2" xfId="4787" xr:uid="{00000000-0005-0000-0000-0000B0000000}"/>
    <cellStyle name="Normal 2 10 2 2 2 2 4" xfId="4011" xr:uid="{00000000-0005-0000-0000-0000B1000000}"/>
    <cellStyle name="Normal 2 10 2 2 2 2 5" xfId="2178" xr:uid="{00000000-0005-0000-0000-0000B2000000}"/>
    <cellStyle name="Normal 2 10 2 2 2 3" xfId="1016" xr:uid="{00000000-0005-0000-0000-0000B3000000}"/>
    <cellStyle name="Normal 2 10 2 2 2 3 2" xfId="4381" xr:uid="{00000000-0005-0000-0000-0000B4000000}"/>
    <cellStyle name="Normal 2 10 2 2 2 3 3" xfId="2845" xr:uid="{00000000-0005-0000-0000-0000B5000000}"/>
    <cellStyle name="Normal 2 10 2 2 2 4" xfId="1423" xr:uid="{00000000-0005-0000-0000-0000B6000000}"/>
    <cellStyle name="Normal 2 10 2 2 2 4 2" xfId="4788" xr:uid="{00000000-0005-0000-0000-0000B7000000}"/>
    <cellStyle name="Normal 2 10 2 2 2 5" xfId="3711" xr:uid="{00000000-0005-0000-0000-0000B8000000}"/>
    <cellStyle name="Normal 2 10 2 2 2 6" xfId="2177" xr:uid="{00000000-0005-0000-0000-0000B9000000}"/>
    <cellStyle name="Normal 2 10 2 2 3" xfId="493" xr:uid="{00000000-0005-0000-0000-0000BA000000}"/>
    <cellStyle name="Normal 2 10 2 2 3 2" xfId="1166" xr:uid="{00000000-0005-0000-0000-0000BB000000}"/>
    <cellStyle name="Normal 2 10 2 2 3 2 2" xfId="4531" xr:uid="{00000000-0005-0000-0000-0000BC000000}"/>
    <cellStyle name="Normal 2 10 2 2 3 2 3" xfId="2847" xr:uid="{00000000-0005-0000-0000-0000BD000000}"/>
    <cellStyle name="Normal 2 10 2 2 3 3" xfId="1424" xr:uid="{00000000-0005-0000-0000-0000BE000000}"/>
    <cellStyle name="Normal 2 10 2 2 3 3 2" xfId="4789" xr:uid="{00000000-0005-0000-0000-0000BF000000}"/>
    <cellStyle name="Normal 2 10 2 2 3 4" xfId="3861" xr:uid="{00000000-0005-0000-0000-0000C0000000}"/>
    <cellStyle name="Normal 2 10 2 2 3 5" xfId="2179" xr:uid="{00000000-0005-0000-0000-0000C1000000}"/>
    <cellStyle name="Normal 2 10 2 2 4" xfId="866" xr:uid="{00000000-0005-0000-0000-0000C2000000}"/>
    <cellStyle name="Normal 2 10 2 2 4 2" xfId="4231" xr:uid="{00000000-0005-0000-0000-0000C3000000}"/>
    <cellStyle name="Normal 2 10 2 2 4 3" xfId="2844" xr:uid="{00000000-0005-0000-0000-0000C4000000}"/>
    <cellStyle name="Normal 2 10 2 2 5" xfId="1425" xr:uid="{00000000-0005-0000-0000-0000C5000000}"/>
    <cellStyle name="Normal 2 10 2 2 5 2" xfId="4790" xr:uid="{00000000-0005-0000-0000-0000C6000000}"/>
    <cellStyle name="Normal 2 10 2 2 6" xfId="3561" xr:uid="{00000000-0005-0000-0000-0000C7000000}"/>
    <cellStyle name="Normal 2 10 2 2 7" xfId="2176" xr:uid="{00000000-0005-0000-0000-0000C8000000}"/>
    <cellStyle name="Normal 2 10 2 3" xfId="268" xr:uid="{00000000-0005-0000-0000-0000C9000000}"/>
    <cellStyle name="Normal 2 10 2 3 2" xfId="568" xr:uid="{00000000-0005-0000-0000-0000CA000000}"/>
    <cellStyle name="Normal 2 10 2 3 2 2" xfId="1241" xr:uid="{00000000-0005-0000-0000-0000CB000000}"/>
    <cellStyle name="Normal 2 10 2 3 2 2 2" xfId="4606" xr:uid="{00000000-0005-0000-0000-0000CC000000}"/>
    <cellStyle name="Normal 2 10 2 3 2 2 3" xfId="2849" xr:uid="{00000000-0005-0000-0000-0000CD000000}"/>
    <cellStyle name="Normal 2 10 2 3 2 3" xfId="1426" xr:uid="{00000000-0005-0000-0000-0000CE000000}"/>
    <cellStyle name="Normal 2 10 2 3 2 3 2" xfId="4791" xr:uid="{00000000-0005-0000-0000-0000CF000000}"/>
    <cellStyle name="Normal 2 10 2 3 2 4" xfId="3936" xr:uid="{00000000-0005-0000-0000-0000D0000000}"/>
    <cellStyle name="Normal 2 10 2 3 2 5" xfId="2181" xr:uid="{00000000-0005-0000-0000-0000D1000000}"/>
    <cellStyle name="Normal 2 10 2 3 3" xfId="941" xr:uid="{00000000-0005-0000-0000-0000D2000000}"/>
    <cellStyle name="Normal 2 10 2 3 3 2" xfId="4306" xr:uid="{00000000-0005-0000-0000-0000D3000000}"/>
    <cellStyle name="Normal 2 10 2 3 3 3" xfId="2848" xr:uid="{00000000-0005-0000-0000-0000D4000000}"/>
    <cellStyle name="Normal 2 10 2 3 4" xfId="1427" xr:uid="{00000000-0005-0000-0000-0000D5000000}"/>
    <cellStyle name="Normal 2 10 2 3 4 2" xfId="4792" xr:uid="{00000000-0005-0000-0000-0000D6000000}"/>
    <cellStyle name="Normal 2 10 2 3 5" xfId="3636" xr:uid="{00000000-0005-0000-0000-0000D7000000}"/>
    <cellStyle name="Normal 2 10 2 3 6" xfId="2180" xr:uid="{00000000-0005-0000-0000-0000D8000000}"/>
    <cellStyle name="Normal 2 10 2 4" xfId="418" xr:uid="{00000000-0005-0000-0000-0000D9000000}"/>
    <cellStyle name="Normal 2 10 2 4 2" xfId="1091" xr:uid="{00000000-0005-0000-0000-0000DA000000}"/>
    <cellStyle name="Normal 2 10 2 4 2 2" xfId="4456" xr:uid="{00000000-0005-0000-0000-0000DB000000}"/>
    <cellStyle name="Normal 2 10 2 4 2 3" xfId="2850" xr:uid="{00000000-0005-0000-0000-0000DC000000}"/>
    <cellStyle name="Normal 2 10 2 4 3" xfId="1428" xr:uid="{00000000-0005-0000-0000-0000DD000000}"/>
    <cellStyle name="Normal 2 10 2 4 3 2" xfId="4793" xr:uid="{00000000-0005-0000-0000-0000DE000000}"/>
    <cellStyle name="Normal 2 10 2 4 4" xfId="3786" xr:uid="{00000000-0005-0000-0000-0000DF000000}"/>
    <cellStyle name="Normal 2 10 2 4 5" xfId="2182" xr:uid="{00000000-0005-0000-0000-0000E0000000}"/>
    <cellStyle name="Normal 2 10 2 5" xfId="704" xr:uid="{00000000-0005-0000-0000-0000E1000000}"/>
    <cellStyle name="Normal 2 10 2 5 2" xfId="1377" xr:uid="{00000000-0005-0000-0000-0000E2000000}"/>
    <cellStyle name="Normal 2 10 2 5 2 2" xfId="4742" xr:uid="{00000000-0005-0000-0000-0000E3000000}"/>
    <cellStyle name="Normal 2 10 2 5 2 3" xfId="2851" xr:uid="{00000000-0005-0000-0000-0000E4000000}"/>
    <cellStyle name="Normal 2 10 2 5 3" xfId="1429" xr:uid="{00000000-0005-0000-0000-0000E5000000}"/>
    <cellStyle name="Normal 2 10 2 5 3 2" xfId="4794" xr:uid="{00000000-0005-0000-0000-0000E6000000}"/>
    <cellStyle name="Normal 2 10 2 5 4" xfId="4072" xr:uid="{00000000-0005-0000-0000-0000E7000000}"/>
    <cellStyle name="Normal 2 10 2 5 5" xfId="2183" xr:uid="{00000000-0005-0000-0000-0000E8000000}"/>
    <cellStyle name="Normal 2 10 2 6" xfId="791" xr:uid="{00000000-0005-0000-0000-0000E9000000}"/>
    <cellStyle name="Normal 2 10 2 6 2" xfId="4156" xr:uid="{00000000-0005-0000-0000-0000EA000000}"/>
    <cellStyle name="Normal 2 10 2 6 3" xfId="2804" xr:uid="{00000000-0005-0000-0000-0000EB000000}"/>
    <cellStyle name="Normal 2 10 2 7" xfId="1430" xr:uid="{00000000-0005-0000-0000-0000EC000000}"/>
    <cellStyle name="Normal 2 10 2 7 2" xfId="4795" xr:uid="{00000000-0005-0000-0000-0000ED000000}"/>
    <cellStyle name="Normal 2 10 2 8" xfId="3486" xr:uid="{00000000-0005-0000-0000-0000EE000000}"/>
    <cellStyle name="Normal 2 10 2 9" xfId="2133" xr:uid="{00000000-0005-0000-0000-0000EF000000}"/>
    <cellStyle name="Normal 2 10 3" xfId="167" xr:uid="{00000000-0005-0000-0000-0000F0000000}"/>
    <cellStyle name="Normal 2 10 3 2" xfId="317" xr:uid="{00000000-0005-0000-0000-0000F1000000}"/>
    <cellStyle name="Normal 2 10 3 2 2" xfId="617" xr:uid="{00000000-0005-0000-0000-0000F2000000}"/>
    <cellStyle name="Normal 2 10 3 2 2 2" xfId="1290" xr:uid="{00000000-0005-0000-0000-0000F3000000}"/>
    <cellStyle name="Normal 2 10 3 2 2 2 2" xfId="4655" xr:uid="{00000000-0005-0000-0000-0000F4000000}"/>
    <cellStyle name="Normal 2 10 3 2 2 2 3" xfId="2854" xr:uid="{00000000-0005-0000-0000-0000F5000000}"/>
    <cellStyle name="Normal 2 10 3 2 2 3" xfId="1431" xr:uid="{00000000-0005-0000-0000-0000F6000000}"/>
    <cellStyle name="Normal 2 10 3 2 2 3 2" xfId="4796" xr:uid="{00000000-0005-0000-0000-0000F7000000}"/>
    <cellStyle name="Normal 2 10 3 2 2 4" xfId="3985" xr:uid="{00000000-0005-0000-0000-0000F8000000}"/>
    <cellStyle name="Normal 2 10 3 2 2 5" xfId="2186" xr:uid="{00000000-0005-0000-0000-0000F9000000}"/>
    <cellStyle name="Normal 2 10 3 2 3" xfId="990" xr:uid="{00000000-0005-0000-0000-0000FA000000}"/>
    <cellStyle name="Normal 2 10 3 2 3 2" xfId="4355" xr:uid="{00000000-0005-0000-0000-0000FB000000}"/>
    <cellStyle name="Normal 2 10 3 2 3 3" xfId="2853" xr:uid="{00000000-0005-0000-0000-0000FC000000}"/>
    <cellStyle name="Normal 2 10 3 2 4" xfId="1432" xr:uid="{00000000-0005-0000-0000-0000FD000000}"/>
    <cellStyle name="Normal 2 10 3 2 4 2" xfId="4797" xr:uid="{00000000-0005-0000-0000-0000FE000000}"/>
    <cellStyle name="Normal 2 10 3 2 5" xfId="3685" xr:uid="{00000000-0005-0000-0000-0000FF000000}"/>
    <cellStyle name="Normal 2 10 3 2 6" xfId="2185" xr:uid="{00000000-0005-0000-0000-000000010000}"/>
    <cellStyle name="Normal 2 10 3 3" xfId="467" xr:uid="{00000000-0005-0000-0000-000001010000}"/>
    <cellStyle name="Normal 2 10 3 3 2" xfId="1140" xr:uid="{00000000-0005-0000-0000-000002010000}"/>
    <cellStyle name="Normal 2 10 3 3 2 2" xfId="4505" xr:uid="{00000000-0005-0000-0000-000003010000}"/>
    <cellStyle name="Normal 2 10 3 3 2 3" xfId="2855" xr:uid="{00000000-0005-0000-0000-000004010000}"/>
    <cellStyle name="Normal 2 10 3 3 3" xfId="1433" xr:uid="{00000000-0005-0000-0000-000005010000}"/>
    <cellStyle name="Normal 2 10 3 3 3 2" xfId="4798" xr:uid="{00000000-0005-0000-0000-000006010000}"/>
    <cellStyle name="Normal 2 10 3 3 4" xfId="3835" xr:uid="{00000000-0005-0000-0000-000007010000}"/>
    <cellStyle name="Normal 2 10 3 3 5" xfId="2187" xr:uid="{00000000-0005-0000-0000-000008010000}"/>
    <cellStyle name="Normal 2 10 3 4" xfId="840" xr:uid="{00000000-0005-0000-0000-000009010000}"/>
    <cellStyle name="Normal 2 10 3 4 2" xfId="4205" xr:uid="{00000000-0005-0000-0000-00000A010000}"/>
    <cellStyle name="Normal 2 10 3 4 3" xfId="2852" xr:uid="{00000000-0005-0000-0000-00000B010000}"/>
    <cellStyle name="Normal 2 10 3 5" xfId="1434" xr:uid="{00000000-0005-0000-0000-00000C010000}"/>
    <cellStyle name="Normal 2 10 3 5 2" xfId="4799" xr:uid="{00000000-0005-0000-0000-00000D010000}"/>
    <cellStyle name="Normal 2 10 3 6" xfId="3535" xr:uid="{00000000-0005-0000-0000-00000E010000}"/>
    <cellStyle name="Normal 2 10 3 7" xfId="2184" xr:uid="{00000000-0005-0000-0000-00000F010000}"/>
    <cellStyle name="Normal 2 10 4" xfId="242" xr:uid="{00000000-0005-0000-0000-000010010000}"/>
    <cellStyle name="Normal 2 10 4 2" xfId="542" xr:uid="{00000000-0005-0000-0000-000011010000}"/>
    <cellStyle name="Normal 2 10 4 2 2" xfId="1215" xr:uid="{00000000-0005-0000-0000-000012010000}"/>
    <cellStyle name="Normal 2 10 4 2 2 2" xfId="4580" xr:uid="{00000000-0005-0000-0000-000013010000}"/>
    <cellStyle name="Normal 2 10 4 2 2 3" xfId="2857" xr:uid="{00000000-0005-0000-0000-000014010000}"/>
    <cellStyle name="Normal 2 10 4 2 3" xfId="1435" xr:uid="{00000000-0005-0000-0000-000015010000}"/>
    <cellStyle name="Normal 2 10 4 2 3 2" xfId="4800" xr:uid="{00000000-0005-0000-0000-000016010000}"/>
    <cellStyle name="Normal 2 10 4 2 4" xfId="3910" xr:uid="{00000000-0005-0000-0000-000017010000}"/>
    <cellStyle name="Normal 2 10 4 2 5" xfId="2189" xr:uid="{00000000-0005-0000-0000-000018010000}"/>
    <cellStyle name="Normal 2 10 4 3" xfId="915" xr:uid="{00000000-0005-0000-0000-000019010000}"/>
    <cellStyle name="Normal 2 10 4 3 2" xfId="4280" xr:uid="{00000000-0005-0000-0000-00001A010000}"/>
    <cellStyle name="Normal 2 10 4 3 3" xfId="2856" xr:uid="{00000000-0005-0000-0000-00001B010000}"/>
    <cellStyle name="Normal 2 10 4 4" xfId="1436" xr:uid="{00000000-0005-0000-0000-00001C010000}"/>
    <cellStyle name="Normal 2 10 4 4 2" xfId="4801" xr:uid="{00000000-0005-0000-0000-00001D010000}"/>
    <cellStyle name="Normal 2 10 4 5" xfId="3610" xr:uid="{00000000-0005-0000-0000-00001E010000}"/>
    <cellStyle name="Normal 2 10 4 6" xfId="2188" xr:uid="{00000000-0005-0000-0000-00001F010000}"/>
    <cellStyle name="Normal 2 10 5" xfId="392" xr:uid="{00000000-0005-0000-0000-000020010000}"/>
    <cellStyle name="Normal 2 10 5 2" xfId="1065" xr:uid="{00000000-0005-0000-0000-000021010000}"/>
    <cellStyle name="Normal 2 10 5 2 2" xfId="4430" xr:uid="{00000000-0005-0000-0000-000022010000}"/>
    <cellStyle name="Normal 2 10 5 2 3" xfId="2858" xr:uid="{00000000-0005-0000-0000-000023010000}"/>
    <cellStyle name="Normal 2 10 5 3" xfId="1437" xr:uid="{00000000-0005-0000-0000-000024010000}"/>
    <cellStyle name="Normal 2 10 5 3 2" xfId="4802" xr:uid="{00000000-0005-0000-0000-000025010000}"/>
    <cellStyle name="Normal 2 10 5 4" xfId="3760" xr:uid="{00000000-0005-0000-0000-000026010000}"/>
    <cellStyle name="Normal 2 10 5 5" xfId="2190" xr:uid="{00000000-0005-0000-0000-000027010000}"/>
    <cellStyle name="Normal 2 10 6" xfId="678" xr:uid="{00000000-0005-0000-0000-000028010000}"/>
    <cellStyle name="Normal 2 10 6 2" xfId="1351" xr:uid="{00000000-0005-0000-0000-000029010000}"/>
    <cellStyle name="Normal 2 10 6 2 2" xfId="4716" xr:uid="{00000000-0005-0000-0000-00002A010000}"/>
    <cellStyle name="Normal 2 10 6 2 3" xfId="2859" xr:uid="{00000000-0005-0000-0000-00002B010000}"/>
    <cellStyle name="Normal 2 10 6 3" xfId="1438" xr:uid="{00000000-0005-0000-0000-00002C010000}"/>
    <cellStyle name="Normal 2 10 6 3 2" xfId="4803" xr:uid="{00000000-0005-0000-0000-00002D010000}"/>
    <cellStyle name="Normal 2 10 6 4" xfId="4046" xr:uid="{00000000-0005-0000-0000-00002E010000}"/>
    <cellStyle name="Normal 2 10 6 5" xfId="2191" xr:uid="{00000000-0005-0000-0000-00002F010000}"/>
    <cellStyle name="Normal 2 10 7" xfId="765" xr:uid="{00000000-0005-0000-0000-000030010000}"/>
    <cellStyle name="Normal 2 10 7 2" xfId="4130" xr:uid="{00000000-0005-0000-0000-000031010000}"/>
    <cellStyle name="Normal 2 10 7 3" xfId="2778" xr:uid="{00000000-0005-0000-0000-000032010000}"/>
    <cellStyle name="Normal 2 10 8" xfId="1439" xr:uid="{00000000-0005-0000-0000-000033010000}"/>
    <cellStyle name="Normal 2 10 8 2" xfId="4804" xr:uid="{00000000-0005-0000-0000-000034010000}"/>
    <cellStyle name="Normal 2 10 9" xfId="3460" xr:uid="{00000000-0005-0000-0000-000035010000}"/>
    <cellStyle name="Normal 2 11" xfId="98" xr:uid="{00000000-0005-0000-0000-000036010000}"/>
    <cellStyle name="Normal 2 11 2" xfId="173" xr:uid="{00000000-0005-0000-0000-000037010000}"/>
    <cellStyle name="Normal 2 11 2 2" xfId="323" xr:uid="{00000000-0005-0000-0000-000038010000}"/>
    <cellStyle name="Normal 2 11 2 2 2" xfId="623" xr:uid="{00000000-0005-0000-0000-000039010000}"/>
    <cellStyle name="Normal 2 11 2 2 2 2" xfId="1296" xr:uid="{00000000-0005-0000-0000-00003A010000}"/>
    <cellStyle name="Normal 2 11 2 2 2 2 2" xfId="4661" xr:uid="{00000000-0005-0000-0000-00003B010000}"/>
    <cellStyle name="Normal 2 11 2 2 2 2 3" xfId="2862" xr:uid="{00000000-0005-0000-0000-00003C010000}"/>
    <cellStyle name="Normal 2 11 2 2 2 3" xfId="1440" xr:uid="{00000000-0005-0000-0000-00003D010000}"/>
    <cellStyle name="Normal 2 11 2 2 2 3 2" xfId="4805" xr:uid="{00000000-0005-0000-0000-00003E010000}"/>
    <cellStyle name="Normal 2 11 2 2 2 4" xfId="3991" xr:uid="{00000000-0005-0000-0000-00003F010000}"/>
    <cellStyle name="Normal 2 11 2 2 2 5" xfId="2194" xr:uid="{00000000-0005-0000-0000-000040010000}"/>
    <cellStyle name="Normal 2 11 2 2 3" xfId="996" xr:uid="{00000000-0005-0000-0000-000041010000}"/>
    <cellStyle name="Normal 2 11 2 2 3 2" xfId="4361" xr:uid="{00000000-0005-0000-0000-000042010000}"/>
    <cellStyle name="Normal 2 11 2 2 3 3" xfId="2861" xr:uid="{00000000-0005-0000-0000-000043010000}"/>
    <cellStyle name="Normal 2 11 2 2 4" xfId="1441" xr:uid="{00000000-0005-0000-0000-000044010000}"/>
    <cellStyle name="Normal 2 11 2 2 4 2" xfId="4806" xr:uid="{00000000-0005-0000-0000-000045010000}"/>
    <cellStyle name="Normal 2 11 2 2 5" xfId="3691" xr:uid="{00000000-0005-0000-0000-000046010000}"/>
    <cellStyle name="Normal 2 11 2 2 6" xfId="2193" xr:uid="{00000000-0005-0000-0000-000047010000}"/>
    <cellStyle name="Normal 2 11 2 3" xfId="473" xr:uid="{00000000-0005-0000-0000-000048010000}"/>
    <cellStyle name="Normal 2 11 2 3 2" xfId="1146" xr:uid="{00000000-0005-0000-0000-000049010000}"/>
    <cellStyle name="Normal 2 11 2 3 2 2" xfId="4511" xr:uid="{00000000-0005-0000-0000-00004A010000}"/>
    <cellStyle name="Normal 2 11 2 3 2 3" xfId="2863" xr:uid="{00000000-0005-0000-0000-00004B010000}"/>
    <cellStyle name="Normal 2 11 2 3 3" xfId="1442" xr:uid="{00000000-0005-0000-0000-00004C010000}"/>
    <cellStyle name="Normal 2 11 2 3 3 2" xfId="4807" xr:uid="{00000000-0005-0000-0000-00004D010000}"/>
    <cellStyle name="Normal 2 11 2 3 4" xfId="3841" xr:uid="{00000000-0005-0000-0000-00004E010000}"/>
    <cellStyle name="Normal 2 11 2 3 5" xfId="2195" xr:uid="{00000000-0005-0000-0000-00004F010000}"/>
    <cellStyle name="Normal 2 11 2 4" xfId="846" xr:uid="{00000000-0005-0000-0000-000050010000}"/>
    <cellStyle name="Normal 2 11 2 4 2" xfId="4211" xr:uid="{00000000-0005-0000-0000-000051010000}"/>
    <cellStyle name="Normal 2 11 2 4 3" xfId="2860" xr:uid="{00000000-0005-0000-0000-000052010000}"/>
    <cellStyle name="Normal 2 11 2 5" xfId="1443" xr:uid="{00000000-0005-0000-0000-000053010000}"/>
    <cellStyle name="Normal 2 11 2 5 2" xfId="4808" xr:uid="{00000000-0005-0000-0000-000054010000}"/>
    <cellStyle name="Normal 2 11 2 6" xfId="3541" xr:uid="{00000000-0005-0000-0000-000055010000}"/>
    <cellStyle name="Normal 2 11 2 7" xfId="2192" xr:uid="{00000000-0005-0000-0000-000056010000}"/>
    <cellStyle name="Normal 2 11 3" xfId="248" xr:uid="{00000000-0005-0000-0000-000057010000}"/>
    <cellStyle name="Normal 2 11 3 2" xfId="548" xr:uid="{00000000-0005-0000-0000-000058010000}"/>
    <cellStyle name="Normal 2 11 3 2 2" xfId="1221" xr:uid="{00000000-0005-0000-0000-000059010000}"/>
    <cellStyle name="Normal 2 11 3 2 2 2" xfId="4586" xr:uid="{00000000-0005-0000-0000-00005A010000}"/>
    <cellStyle name="Normal 2 11 3 2 2 3" xfId="2865" xr:uid="{00000000-0005-0000-0000-00005B010000}"/>
    <cellStyle name="Normal 2 11 3 2 3" xfId="1444" xr:uid="{00000000-0005-0000-0000-00005C010000}"/>
    <cellStyle name="Normal 2 11 3 2 3 2" xfId="4809" xr:uid="{00000000-0005-0000-0000-00005D010000}"/>
    <cellStyle name="Normal 2 11 3 2 4" xfId="3916" xr:uid="{00000000-0005-0000-0000-00005E010000}"/>
    <cellStyle name="Normal 2 11 3 2 5" xfId="2197" xr:uid="{00000000-0005-0000-0000-00005F010000}"/>
    <cellStyle name="Normal 2 11 3 3" xfId="921" xr:uid="{00000000-0005-0000-0000-000060010000}"/>
    <cellStyle name="Normal 2 11 3 3 2" xfId="4286" xr:uid="{00000000-0005-0000-0000-000061010000}"/>
    <cellStyle name="Normal 2 11 3 3 3" xfId="2864" xr:uid="{00000000-0005-0000-0000-000062010000}"/>
    <cellStyle name="Normal 2 11 3 4" xfId="1445" xr:uid="{00000000-0005-0000-0000-000063010000}"/>
    <cellStyle name="Normal 2 11 3 4 2" xfId="4810" xr:uid="{00000000-0005-0000-0000-000064010000}"/>
    <cellStyle name="Normal 2 11 3 5" xfId="3616" xr:uid="{00000000-0005-0000-0000-000065010000}"/>
    <cellStyle name="Normal 2 11 3 6" xfId="2196" xr:uid="{00000000-0005-0000-0000-000066010000}"/>
    <cellStyle name="Normal 2 11 4" xfId="398" xr:uid="{00000000-0005-0000-0000-000067010000}"/>
    <cellStyle name="Normal 2 11 4 2" xfId="1071" xr:uid="{00000000-0005-0000-0000-000068010000}"/>
    <cellStyle name="Normal 2 11 4 2 2" xfId="4436" xr:uid="{00000000-0005-0000-0000-000069010000}"/>
    <cellStyle name="Normal 2 11 4 2 3" xfId="2866" xr:uid="{00000000-0005-0000-0000-00006A010000}"/>
    <cellStyle name="Normal 2 11 4 3" xfId="1446" xr:uid="{00000000-0005-0000-0000-00006B010000}"/>
    <cellStyle name="Normal 2 11 4 3 2" xfId="4811" xr:uid="{00000000-0005-0000-0000-00006C010000}"/>
    <cellStyle name="Normal 2 11 4 4" xfId="3766" xr:uid="{00000000-0005-0000-0000-00006D010000}"/>
    <cellStyle name="Normal 2 11 4 5" xfId="2198" xr:uid="{00000000-0005-0000-0000-00006E010000}"/>
    <cellStyle name="Normal 2 11 5" xfId="684" xr:uid="{00000000-0005-0000-0000-00006F010000}"/>
    <cellStyle name="Normal 2 11 5 2" xfId="1357" xr:uid="{00000000-0005-0000-0000-000070010000}"/>
    <cellStyle name="Normal 2 11 5 2 2" xfId="4722" xr:uid="{00000000-0005-0000-0000-000071010000}"/>
    <cellStyle name="Normal 2 11 5 2 3" xfId="2867" xr:uid="{00000000-0005-0000-0000-000072010000}"/>
    <cellStyle name="Normal 2 11 5 3" xfId="1447" xr:uid="{00000000-0005-0000-0000-000073010000}"/>
    <cellStyle name="Normal 2 11 5 3 2" xfId="4812" xr:uid="{00000000-0005-0000-0000-000074010000}"/>
    <cellStyle name="Normal 2 11 5 4" xfId="4052" xr:uid="{00000000-0005-0000-0000-000075010000}"/>
    <cellStyle name="Normal 2 11 5 5" xfId="2199" xr:uid="{00000000-0005-0000-0000-000076010000}"/>
    <cellStyle name="Normal 2 11 6" xfId="771" xr:uid="{00000000-0005-0000-0000-000077010000}"/>
    <cellStyle name="Normal 2 11 6 2" xfId="4136" xr:uid="{00000000-0005-0000-0000-000078010000}"/>
    <cellStyle name="Normal 2 11 6 3" xfId="2784" xr:uid="{00000000-0005-0000-0000-000079010000}"/>
    <cellStyle name="Normal 2 11 7" xfId="1448" xr:uid="{00000000-0005-0000-0000-00007A010000}"/>
    <cellStyle name="Normal 2 11 7 2" xfId="4813" xr:uid="{00000000-0005-0000-0000-00007B010000}"/>
    <cellStyle name="Normal 2 11 8" xfId="3466" xr:uid="{00000000-0005-0000-0000-00007C010000}"/>
    <cellStyle name="Normal 2 11 9" xfId="2113" xr:uid="{00000000-0005-0000-0000-00007D010000}"/>
    <cellStyle name="Normal 2 12" xfId="70" xr:uid="{00000000-0005-0000-0000-00007E010000}"/>
    <cellStyle name="Normal 2 12 2" xfId="147" xr:uid="{00000000-0005-0000-0000-00007F010000}"/>
    <cellStyle name="Normal 2 12 2 2" xfId="297" xr:uid="{00000000-0005-0000-0000-000080010000}"/>
    <cellStyle name="Normal 2 12 2 2 2" xfId="597" xr:uid="{00000000-0005-0000-0000-000081010000}"/>
    <cellStyle name="Normal 2 12 2 2 2 2" xfId="1270" xr:uid="{00000000-0005-0000-0000-000082010000}"/>
    <cellStyle name="Normal 2 12 2 2 2 2 2" xfId="4635" xr:uid="{00000000-0005-0000-0000-000083010000}"/>
    <cellStyle name="Normal 2 12 2 2 2 2 3" xfId="2870" xr:uid="{00000000-0005-0000-0000-000084010000}"/>
    <cellStyle name="Normal 2 12 2 2 2 3" xfId="1449" xr:uid="{00000000-0005-0000-0000-000085010000}"/>
    <cellStyle name="Normal 2 12 2 2 2 3 2" xfId="4814" xr:uid="{00000000-0005-0000-0000-000086010000}"/>
    <cellStyle name="Normal 2 12 2 2 2 4" xfId="3965" xr:uid="{00000000-0005-0000-0000-000087010000}"/>
    <cellStyle name="Normal 2 12 2 2 2 5" xfId="2202" xr:uid="{00000000-0005-0000-0000-000088010000}"/>
    <cellStyle name="Normal 2 12 2 2 3" xfId="970" xr:uid="{00000000-0005-0000-0000-000089010000}"/>
    <cellStyle name="Normal 2 12 2 2 3 2" xfId="4335" xr:uid="{00000000-0005-0000-0000-00008A010000}"/>
    <cellStyle name="Normal 2 12 2 2 3 3" xfId="2869" xr:uid="{00000000-0005-0000-0000-00008B010000}"/>
    <cellStyle name="Normal 2 12 2 2 4" xfId="1450" xr:uid="{00000000-0005-0000-0000-00008C010000}"/>
    <cellStyle name="Normal 2 12 2 2 4 2" xfId="4815" xr:uid="{00000000-0005-0000-0000-00008D010000}"/>
    <cellStyle name="Normal 2 12 2 2 5" xfId="3665" xr:uid="{00000000-0005-0000-0000-00008E010000}"/>
    <cellStyle name="Normal 2 12 2 2 6" xfId="2201" xr:uid="{00000000-0005-0000-0000-00008F010000}"/>
    <cellStyle name="Normal 2 12 2 3" xfId="447" xr:uid="{00000000-0005-0000-0000-000090010000}"/>
    <cellStyle name="Normal 2 12 2 3 2" xfId="1120" xr:uid="{00000000-0005-0000-0000-000091010000}"/>
    <cellStyle name="Normal 2 12 2 3 2 2" xfId="4485" xr:uid="{00000000-0005-0000-0000-000092010000}"/>
    <cellStyle name="Normal 2 12 2 3 2 3" xfId="2871" xr:uid="{00000000-0005-0000-0000-000093010000}"/>
    <cellStyle name="Normal 2 12 2 3 3" xfId="1451" xr:uid="{00000000-0005-0000-0000-000094010000}"/>
    <cellStyle name="Normal 2 12 2 3 3 2" xfId="4816" xr:uid="{00000000-0005-0000-0000-000095010000}"/>
    <cellStyle name="Normal 2 12 2 3 4" xfId="3815" xr:uid="{00000000-0005-0000-0000-000096010000}"/>
    <cellStyle name="Normal 2 12 2 3 5" xfId="2203" xr:uid="{00000000-0005-0000-0000-000097010000}"/>
    <cellStyle name="Normal 2 12 2 4" xfId="820" xr:uid="{00000000-0005-0000-0000-000098010000}"/>
    <cellStyle name="Normal 2 12 2 4 2" xfId="4185" xr:uid="{00000000-0005-0000-0000-000099010000}"/>
    <cellStyle name="Normal 2 12 2 4 3" xfId="2868" xr:uid="{00000000-0005-0000-0000-00009A010000}"/>
    <cellStyle name="Normal 2 12 2 5" xfId="1452" xr:uid="{00000000-0005-0000-0000-00009B010000}"/>
    <cellStyle name="Normal 2 12 2 5 2" xfId="4817" xr:uid="{00000000-0005-0000-0000-00009C010000}"/>
    <cellStyle name="Normal 2 12 2 6" xfId="3515" xr:uid="{00000000-0005-0000-0000-00009D010000}"/>
    <cellStyle name="Normal 2 12 2 7" xfId="2200" xr:uid="{00000000-0005-0000-0000-00009E010000}"/>
    <cellStyle name="Normal 2 12 3" xfId="222" xr:uid="{00000000-0005-0000-0000-00009F010000}"/>
    <cellStyle name="Normal 2 12 3 2" xfId="522" xr:uid="{00000000-0005-0000-0000-0000A0010000}"/>
    <cellStyle name="Normal 2 12 3 2 2" xfId="1195" xr:uid="{00000000-0005-0000-0000-0000A1010000}"/>
    <cellStyle name="Normal 2 12 3 2 2 2" xfId="4560" xr:uid="{00000000-0005-0000-0000-0000A2010000}"/>
    <cellStyle name="Normal 2 12 3 2 2 3" xfId="2873" xr:uid="{00000000-0005-0000-0000-0000A3010000}"/>
    <cellStyle name="Normal 2 12 3 2 3" xfId="1453" xr:uid="{00000000-0005-0000-0000-0000A4010000}"/>
    <cellStyle name="Normal 2 12 3 2 3 2" xfId="4818" xr:uid="{00000000-0005-0000-0000-0000A5010000}"/>
    <cellStyle name="Normal 2 12 3 2 4" xfId="3890" xr:uid="{00000000-0005-0000-0000-0000A6010000}"/>
    <cellStyle name="Normal 2 12 3 2 5" xfId="2205" xr:uid="{00000000-0005-0000-0000-0000A7010000}"/>
    <cellStyle name="Normal 2 12 3 3" xfId="895" xr:uid="{00000000-0005-0000-0000-0000A8010000}"/>
    <cellStyle name="Normal 2 12 3 3 2" xfId="4260" xr:uid="{00000000-0005-0000-0000-0000A9010000}"/>
    <cellStyle name="Normal 2 12 3 3 3" xfId="2872" xr:uid="{00000000-0005-0000-0000-0000AA010000}"/>
    <cellStyle name="Normal 2 12 3 4" xfId="1454" xr:uid="{00000000-0005-0000-0000-0000AB010000}"/>
    <cellStyle name="Normal 2 12 3 4 2" xfId="4819" xr:uid="{00000000-0005-0000-0000-0000AC010000}"/>
    <cellStyle name="Normal 2 12 3 5" xfId="3590" xr:uid="{00000000-0005-0000-0000-0000AD010000}"/>
    <cellStyle name="Normal 2 12 3 6" xfId="2204" xr:uid="{00000000-0005-0000-0000-0000AE010000}"/>
    <cellStyle name="Normal 2 12 4" xfId="372" xr:uid="{00000000-0005-0000-0000-0000AF010000}"/>
    <cellStyle name="Normal 2 12 4 2" xfId="1045" xr:uid="{00000000-0005-0000-0000-0000B0010000}"/>
    <cellStyle name="Normal 2 12 4 2 2" xfId="4410" xr:uid="{00000000-0005-0000-0000-0000B1010000}"/>
    <cellStyle name="Normal 2 12 4 2 3" xfId="2874" xr:uid="{00000000-0005-0000-0000-0000B2010000}"/>
    <cellStyle name="Normal 2 12 4 3" xfId="1455" xr:uid="{00000000-0005-0000-0000-0000B3010000}"/>
    <cellStyle name="Normal 2 12 4 3 2" xfId="4820" xr:uid="{00000000-0005-0000-0000-0000B4010000}"/>
    <cellStyle name="Normal 2 12 4 4" xfId="3740" xr:uid="{00000000-0005-0000-0000-0000B5010000}"/>
    <cellStyle name="Normal 2 12 4 5" xfId="2206" xr:uid="{00000000-0005-0000-0000-0000B6010000}"/>
    <cellStyle name="Normal 2 12 5" xfId="745" xr:uid="{00000000-0005-0000-0000-0000B7010000}"/>
    <cellStyle name="Normal 2 12 5 2" xfId="4110" xr:uid="{00000000-0005-0000-0000-0000B8010000}"/>
    <cellStyle name="Normal 2 12 5 3" xfId="2819" xr:uid="{00000000-0005-0000-0000-0000B9010000}"/>
    <cellStyle name="Normal 2 12 6" xfId="1456" xr:uid="{00000000-0005-0000-0000-0000BA010000}"/>
    <cellStyle name="Normal 2 12 6 2" xfId="4821" xr:uid="{00000000-0005-0000-0000-0000BB010000}"/>
    <cellStyle name="Normal 2 12 7" xfId="3440" xr:uid="{00000000-0005-0000-0000-0000BC010000}"/>
    <cellStyle name="Normal 2 12 8" xfId="2151" xr:uid="{00000000-0005-0000-0000-0000BD010000}"/>
    <cellStyle name="Normal 2 13" xfId="658" xr:uid="{00000000-0005-0000-0000-0000BE010000}"/>
    <cellStyle name="Normal 2 13 2" xfId="1331" xr:uid="{00000000-0005-0000-0000-0000BF010000}"/>
    <cellStyle name="Normal 2 13 2 2" xfId="3423" xr:uid="{00000000-0005-0000-0000-0000C0010000}"/>
    <cellStyle name="Normal 2 13 2 3" xfId="4696" xr:uid="{00000000-0005-0000-0000-0000C1010000}"/>
    <cellStyle name="Normal 2 13 2 4" xfId="2755" xr:uid="{00000000-0005-0000-0000-0000C2010000}"/>
    <cellStyle name="Normal 2 13 3" xfId="1457" xr:uid="{00000000-0005-0000-0000-0000C3010000}"/>
    <cellStyle name="Normal 2 13 3 2" xfId="4822" xr:uid="{00000000-0005-0000-0000-0000C4010000}"/>
    <cellStyle name="Normal 2 13 4" xfId="4026" xr:uid="{00000000-0005-0000-0000-0000C5010000}"/>
    <cellStyle name="Normal 2 13 5" xfId="2082" xr:uid="{00000000-0005-0000-0000-0000C6010000}"/>
    <cellStyle name="Normal 2 13 6" xfId="5443" xr:uid="{00000000-0005-0000-0000-0000C7010000}"/>
    <cellStyle name="Normal 2 14" xfId="2080" xr:uid="{00000000-0005-0000-0000-0000C8010000}"/>
    <cellStyle name="Normal 2 2" xfId="4" xr:uid="{00000000-0005-0000-0000-0000C9010000}"/>
    <cellStyle name="Normal 2 3" xfId="5" xr:uid="{00000000-0005-0000-0000-0000CA010000}"/>
    <cellStyle name="Normal 2 4" xfId="6" xr:uid="{00000000-0005-0000-0000-0000CB010000}"/>
    <cellStyle name="Normal 2 5" xfId="7" xr:uid="{00000000-0005-0000-0000-0000CC010000}"/>
    <cellStyle name="Normal 2 6" xfId="8" xr:uid="{00000000-0005-0000-0000-0000CD010000}"/>
    <cellStyle name="Normal 2 7" xfId="9" xr:uid="{00000000-0005-0000-0000-0000CE010000}"/>
    <cellStyle name="Normal 2 7 10" xfId="358" xr:uid="{00000000-0005-0000-0000-0000CF010000}"/>
    <cellStyle name="Normal 2 7 10 2" xfId="1031" xr:uid="{00000000-0005-0000-0000-0000D0010000}"/>
    <cellStyle name="Normal 2 7 10 2 2" xfId="4396" xr:uid="{00000000-0005-0000-0000-0000D1010000}"/>
    <cellStyle name="Normal 2 7 10 2 3" xfId="2875" xr:uid="{00000000-0005-0000-0000-0000D2010000}"/>
    <cellStyle name="Normal 2 7 10 3" xfId="1458" xr:uid="{00000000-0005-0000-0000-0000D3010000}"/>
    <cellStyle name="Normal 2 7 10 3 2" xfId="4823" xr:uid="{00000000-0005-0000-0000-0000D4010000}"/>
    <cellStyle name="Normal 2 7 10 4" xfId="3726" xr:uid="{00000000-0005-0000-0000-0000D5010000}"/>
    <cellStyle name="Normal 2 7 10 5" xfId="2207" xr:uid="{00000000-0005-0000-0000-0000D6010000}"/>
    <cellStyle name="Normal 2 7 11" xfId="660" xr:uid="{00000000-0005-0000-0000-0000D7010000}"/>
    <cellStyle name="Normal 2 7 11 2" xfId="1333" xr:uid="{00000000-0005-0000-0000-0000D8010000}"/>
    <cellStyle name="Normal 2 7 11 2 2" xfId="4698" xr:uid="{00000000-0005-0000-0000-0000D9010000}"/>
    <cellStyle name="Normal 2 7 11 2 3" xfId="2876" xr:uid="{00000000-0005-0000-0000-0000DA010000}"/>
    <cellStyle name="Normal 2 7 11 3" xfId="1459" xr:uid="{00000000-0005-0000-0000-0000DB010000}"/>
    <cellStyle name="Normal 2 7 11 3 2" xfId="4824" xr:uid="{00000000-0005-0000-0000-0000DC010000}"/>
    <cellStyle name="Normal 2 7 11 4" xfId="4028" xr:uid="{00000000-0005-0000-0000-0000DD010000}"/>
    <cellStyle name="Normal 2 7 11 5" xfId="2208" xr:uid="{00000000-0005-0000-0000-0000DE010000}"/>
    <cellStyle name="Normal 2 7 12" xfId="731" xr:uid="{00000000-0005-0000-0000-0000DF010000}"/>
    <cellStyle name="Normal 2 7 12 2" xfId="4096" xr:uid="{00000000-0005-0000-0000-0000E0010000}"/>
    <cellStyle name="Normal 2 7 12 3" xfId="2759" xr:uid="{00000000-0005-0000-0000-0000E1010000}"/>
    <cellStyle name="Normal 2 7 13" xfId="1460" xr:uid="{00000000-0005-0000-0000-0000E2010000}"/>
    <cellStyle name="Normal 2 7 13 2" xfId="4825" xr:uid="{00000000-0005-0000-0000-0000E3010000}"/>
    <cellStyle name="Normal 2 7 14" xfId="3426" xr:uid="{00000000-0005-0000-0000-0000E4010000}"/>
    <cellStyle name="Normal 2 7 15" xfId="2083" xr:uid="{00000000-0005-0000-0000-0000E5010000}"/>
    <cellStyle name="Normal 2 7 2" xfId="18" xr:uid="{00000000-0005-0000-0000-0000E6010000}"/>
    <cellStyle name="Normal 2 7 2 10" xfId="1461" xr:uid="{00000000-0005-0000-0000-0000E7010000}"/>
    <cellStyle name="Normal 2 7 2 10 2" xfId="4826" xr:uid="{00000000-0005-0000-0000-0000E8010000}"/>
    <cellStyle name="Normal 2 7 2 11" xfId="3429" xr:uid="{00000000-0005-0000-0000-0000E9010000}"/>
    <cellStyle name="Normal 2 7 2 12" xfId="2086" xr:uid="{00000000-0005-0000-0000-0000EA010000}"/>
    <cellStyle name="Normal 2 7 2 2" xfId="107" xr:uid="{00000000-0005-0000-0000-0000EB010000}"/>
    <cellStyle name="Normal 2 7 2 2 2" xfId="182" xr:uid="{00000000-0005-0000-0000-0000EC010000}"/>
    <cellStyle name="Normal 2 7 2 2 2 2" xfId="332" xr:uid="{00000000-0005-0000-0000-0000ED010000}"/>
    <cellStyle name="Normal 2 7 2 2 2 2 2" xfId="632" xr:uid="{00000000-0005-0000-0000-0000EE010000}"/>
    <cellStyle name="Normal 2 7 2 2 2 2 2 2" xfId="1305" xr:uid="{00000000-0005-0000-0000-0000EF010000}"/>
    <cellStyle name="Normal 2 7 2 2 2 2 2 2 2" xfId="4670" xr:uid="{00000000-0005-0000-0000-0000F0010000}"/>
    <cellStyle name="Normal 2 7 2 2 2 2 2 2 3" xfId="2879" xr:uid="{00000000-0005-0000-0000-0000F1010000}"/>
    <cellStyle name="Normal 2 7 2 2 2 2 2 3" xfId="1462" xr:uid="{00000000-0005-0000-0000-0000F2010000}"/>
    <cellStyle name="Normal 2 7 2 2 2 2 2 3 2" xfId="4827" xr:uid="{00000000-0005-0000-0000-0000F3010000}"/>
    <cellStyle name="Normal 2 7 2 2 2 2 2 4" xfId="4000" xr:uid="{00000000-0005-0000-0000-0000F4010000}"/>
    <cellStyle name="Normal 2 7 2 2 2 2 2 5" xfId="2211" xr:uid="{00000000-0005-0000-0000-0000F5010000}"/>
    <cellStyle name="Normal 2 7 2 2 2 2 3" xfId="1005" xr:uid="{00000000-0005-0000-0000-0000F6010000}"/>
    <cellStyle name="Normal 2 7 2 2 2 2 3 2" xfId="4370" xr:uid="{00000000-0005-0000-0000-0000F7010000}"/>
    <cellStyle name="Normal 2 7 2 2 2 2 3 3" xfId="2878" xr:uid="{00000000-0005-0000-0000-0000F8010000}"/>
    <cellStyle name="Normal 2 7 2 2 2 2 4" xfId="1463" xr:uid="{00000000-0005-0000-0000-0000F9010000}"/>
    <cellStyle name="Normal 2 7 2 2 2 2 4 2" xfId="4828" xr:uid="{00000000-0005-0000-0000-0000FA010000}"/>
    <cellStyle name="Normal 2 7 2 2 2 2 5" xfId="3700" xr:uid="{00000000-0005-0000-0000-0000FB010000}"/>
    <cellStyle name="Normal 2 7 2 2 2 2 6" xfId="2210" xr:uid="{00000000-0005-0000-0000-0000FC010000}"/>
    <cellStyle name="Normal 2 7 2 2 2 3" xfId="482" xr:uid="{00000000-0005-0000-0000-0000FD010000}"/>
    <cellStyle name="Normal 2 7 2 2 2 3 2" xfId="1155" xr:uid="{00000000-0005-0000-0000-0000FE010000}"/>
    <cellStyle name="Normal 2 7 2 2 2 3 2 2" xfId="4520" xr:uid="{00000000-0005-0000-0000-0000FF010000}"/>
    <cellStyle name="Normal 2 7 2 2 2 3 2 3" xfId="2880" xr:uid="{00000000-0005-0000-0000-000000020000}"/>
    <cellStyle name="Normal 2 7 2 2 2 3 3" xfId="1464" xr:uid="{00000000-0005-0000-0000-000001020000}"/>
    <cellStyle name="Normal 2 7 2 2 2 3 3 2" xfId="4829" xr:uid="{00000000-0005-0000-0000-000002020000}"/>
    <cellStyle name="Normal 2 7 2 2 2 3 4" xfId="3850" xr:uid="{00000000-0005-0000-0000-000003020000}"/>
    <cellStyle name="Normal 2 7 2 2 2 3 5" xfId="2212" xr:uid="{00000000-0005-0000-0000-000004020000}"/>
    <cellStyle name="Normal 2 7 2 2 2 4" xfId="855" xr:uid="{00000000-0005-0000-0000-000005020000}"/>
    <cellStyle name="Normal 2 7 2 2 2 4 2" xfId="4220" xr:uid="{00000000-0005-0000-0000-000006020000}"/>
    <cellStyle name="Normal 2 7 2 2 2 4 3" xfId="2877" xr:uid="{00000000-0005-0000-0000-000007020000}"/>
    <cellStyle name="Normal 2 7 2 2 2 5" xfId="1465" xr:uid="{00000000-0005-0000-0000-000008020000}"/>
    <cellStyle name="Normal 2 7 2 2 2 5 2" xfId="4830" xr:uid="{00000000-0005-0000-0000-000009020000}"/>
    <cellStyle name="Normal 2 7 2 2 2 6" xfId="3550" xr:uid="{00000000-0005-0000-0000-00000A020000}"/>
    <cellStyle name="Normal 2 7 2 2 2 7" xfId="2209" xr:uid="{00000000-0005-0000-0000-00000B020000}"/>
    <cellStyle name="Normal 2 7 2 2 3" xfId="257" xr:uid="{00000000-0005-0000-0000-00000C020000}"/>
    <cellStyle name="Normal 2 7 2 2 3 2" xfId="557" xr:uid="{00000000-0005-0000-0000-00000D020000}"/>
    <cellStyle name="Normal 2 7 2 2 3 2 2" xfId="1230" xr:uid="{00000000-0005-0000-0000-00000E020000}"/>
    <cellStyle name="Normal 2 7 2 2 3 2 2 2" xfId="4595" xr:uid="{00000000-0005-0000-0000-00000F020000}"/>
    <cellStyle name="Normal 2 7 2 2 3 2 2 3" xfId="2882" xr:uid="{00000000-0005-0000-0000-000010020000}"/>
    <cellStyle name="Normal 2 7 2 2 3 2 3" xfId="1466" xr:uid="{00000000-0005-0000-0000-000011020000}"/>
    <cellStyle name="Normal 2 7 2 2 3 2 3 2" xfId="4831" xr:uid="{00000000-0005-0000-0000-000012020000}"/>
    <cellStyle name="Normal 2 7 2 2 3 2 4" xfId="3925" xr:uid="{00000000-0005-0000-0000-000013020000}"/>
    <cellStyle name="Normal 2 7 2 2 3 2 5" xfId="2214" xr:uid="{00000000-0005-0000-0000-000014020000}"/>
    <cellStyle name="Normal 2 7 2 2 3 3" xfId="930" xr:uid="{00000000-0005-0000-0000-000015020000}"/>
    <cellStyle name="Normal 2 7 2 2 3 3 2" xfId="4295" xr:uid="{00000000-0005-0000-0000-000016020000}"/>
    <cellStyle name="Normal 2 7 2 2 3 3 3" xfId="2881" xr:uid="{00000000-0005-0000-0000-000017020000}"/>
    <cellStyle name="Normal 2 7 2 2 3 4" xfId="1467" xr:uid="{00000000-0005-0000-0000-000018020000}"/>
    <cellStyle name="Normal 2 7 2 2 3 4 2" xfId="4832" xr:uid="{00000000-0005-0000-0000-000019020000}"/>
    <cellStyle name="Normal 2 7 2 2 3 5" xfId="3625" xr:uid="{00000000-0005-0000-0000-00001A020000}"/>
    <cellStyle name="Normal 2 7 2 2 3 6" xfId="2213" xr:uid="{00000000-0005-0000-0000-00001B020000}"/>
    <cellStyle name="Normal 2 7 2 2 4" xfId="407" xr:uid="{00000000-0005-0000-0000-00001C020000}"/>
    <cellStyle name="Normal 2 7 2 2 4 2" xfId="1080" xr:uid="{00000000-0005-0000-0000-00001D020000}"/>
    <cellStyle name="Normal 2 7 2 2 4 2 2" xfId="4445" xr:uid="{00000000-0005-0000-0000-00001E020000}"/>
    <cellStyle name="Normal 2 7 2 2 4 2 3" xfId="2883" xr:uid="{00000000-0005-0000-0000-00001F020000}"/>
    <cellStyle name="Normal 2 7 2 2 4 3" xfId="1468" xr:uid="{00000000-0005-0000-0000-000020020000}"/>
    <cellStyle name="Normal 2 7 2 2 4 3 2" xfId="4833" xr:uid="{00000000-0005-0000-0000-000021020000}"/>
    <cellStyle name="Normal 2 7 2 2 4 4" xfId="3775" xr:uid="{00000000-0005-0000-0000-000022020000}"/>
    <cellStyle name="Normal 2 7 2 2 4 5" xfId="2215" xr:uid="{00000000-0005-0000-0000-000023020000}"/>
    <cellStyle name="Normal 2 7 2 2 5" xfId="693" xr:uid="{00000000-0005-0000-0000-000024020000}"/>
    <cellStyle name="Normal 2 7 2 2 5 2" xfId="1366" xr:uid="{00000000-0005-0000-0000-000025020000}"/>
    <cellStyle name="Normal 2 7 2 2 5 2 2" xfId="4731" xr:uid="{00000000-0005-0000-0000-000026020000}"/>
    <cellStyle name="Normal 2 7 2 2 5 2 3" xfId="2884" xr:uid="{00000000-0005-0000-0000-000027020000}"/>
    <cellStyle name="Normal 2 7 2 2 5 3" xfId="1469" xr:uid="{00000000-0005-0000-0000-000028020000}"/>
    <cellStyle name="Normal 2 7 2 2 5 3 2" xfId="4834" xr:uid="{00000000-0005-0000-0000-000029020000}"/>
    <cellStyle name="Normal 2 7 2 2 5 4" xfId="4061" xr:uid="{00000000-0005-0000-0000-00002A020000}"/>
    <cellStyle name="Normal 2 7 2 2 5 5" xfId="2216" xr:uid="{00000000-0005-0000-0000-00002B020000}"/>
    <cellStyle name="Normal 2 7 2 2 6" xfId="780" xr:uid="{00000000-0005-0000-0000-00002C020000}"/>
    <cellStyle name="Normal 2 7 2 2 6 2" xfId="4145" xr:uid="{00000000-0005-0000-0000-00002D020000}"/>
    <cellStyle name="Normal 2 7 2 2 6 3" xfId="2793" xr:uid="{00000000-0005-0000-0000-00002E020000}"/>
    <cellStyle name="Normal 2 7 2 2 7" xfId="1470" xr:uid="{00000000-0005-0000-0000-00002F020000}"/>
    <cellStyle name="Normal 2 7 2 2 7 2" xfId="4835" xr:uid="{00000000-0005-0000-0000-000030020000}"/>
    <cellStyle name="Normal 2 7 2 2 8" xfId="3475" xr:uid="{00000000-0005-0000-0000-000031020000}"/>
    <cellStyle name="Normal 2 7 2 2 9" xfId="2122" xr:uid="{00000000-0005-0000-0000-000032020000}"/>
    <cellStyle name="Normal 2 7 2 3" xfId="80" xr:uid="{00000000-0005-0000-0000-000033020000}"/>
    <cellStyle name="Normal 2 7 2 3 2" xfId="156" xr:uid="{00000000-0005-0000-0000-000034020000}"/>
    <cellStyle name="Normal 2 7 2 3 2 2" xfId="306" xr:uid="{00000000-0005-0000-0000-000035020000}"/>
    <cellStyle name="Normal 2 7 2 3 2 2 2" xfId="606" xr:uid="{00000000-0005-0000-0000-000036020000}"/>
    <cellStyle name="Normal 2 7 2 3 2 2 2 2" xfId="1279" xr:uid="{00000000-0005-0000-0000-000037020000}"/>
    <cellStyle name="Normal 2 7 2 3 2 2 2 2 2" xfId="4644" xr:uid="{00000000-0005-0000-0000-000038020000}"/>
    <cellStyle name="Normal 2 7 2 3 2 2 2 2 3" xfId="2887" xr:uid="{00000000-0005-0000-0000-000039020000}"/>
    <cellStyle name="Normal 2 7 2 3 2 2 2 3" xfId="1471" xr:uid="{00000000-0005-0000-0000-00003A020000}"/>
    <cellStyle name="Normal 2 7 2 3 2 2 2 3 2" xfId="4836" xr:uid="{00000000-0005-0000-0000-00003B020000}"/>
    <cellStyle name="Normal 2 7 2 3 2 2 2 4" xfId="3974" xr:uid="{00000000-0005-0000-0000-00003C020000}"/>
    <cellStyle name="Normal 2 7 2 3 2 2 2 5" xfId="2219" xr:uid="{00000000-0005-0000-0000-00003D020000}"/>
    <cellStyle name="Normal 2 7 2 3 2 2 3" xfId="979" xr:uid="{00000000-0005-0000-0000-00003E020000}"/>
    <cellStyle name="Normal 2 7 2 3 2 2 3 2" xfId="4344" xr:uid="{00000000-0005-0000-0000-00003F020000}"/>
    <cellStyle name="Normal 2 7 2 3 2 2 3 3" xfId="2886" xr:uid="{00000000-0005-0000-0000-000040020000}"/>
    <cellStyle name="Normal 2 7 2 3 2 2 4" xfId="1472" xr:uid="{00000000-0005-0000-0000-000041020000}"/>
    <cellStyle name="Normal 2 7 2 3 2 2 4 2" xfId="4837" xr:uid="{00000000-0005-0000-0000-000042020000}"/>
    <cellStyle name="Normal 2 7 2 3 2 2 5" xfId="3674" xr:uid="{00000000-0005-0000-0000-000043020000}"/>
    <cellStyle name="Normal 2 7 2 3 2 2 6" xfId="2218" xr:uid="{00000000-0005-0000-0000-000044020000}"/>
    <cellStyle name="Normal 2 7 2 3 2 3" xfId="456" xr:uid="{00000000-0005-0000-0000-000045020000}"/>
    <cellStyle name="Normal 2 7 2 3 2 3 2" xfId="1129" xr:uid="{00000000-0005-0000-0000-000046020000}"/>
    <cellStyle name="Normal 2 7 2 3 2 3 2 2" xfId="4494" xr:uid="{00000000-0005-0000-0000-000047020000}"/>
    <cellStyle name="Normal 2 7 2 3 2 3 2 3" xfId="2888" xr:uid="{00000000-0005-0000-0000-000048020000}"/>
    <cellStyle name="Normal 2 7 2 3 2 3 3" xfId="1473" xr:uid="{00000000-0005-0000-0000-000049020000}"/>
    <cellStyle name="Normal 2 7 2 3 2 3 3 2" xfId="4838" xr:uid="{00000000-0005-0000-0000-00004A020000}"/>
    <cellStyle name="Normal 2 7 2 3 2 3 4" xfId="3824" xr:uid="{00000000-0005-0000-0000-00004B020000}"/>
    <cellStyle name="Normal 2 7 2 3 2 3 5" xfId="2220" xr:uid="{00000000-0005-0000-0000-00004C020000}"/>
    <cellStyle name="Normal 2 7 2 3 2 4" xfId="829" xr:uid="{00000000-0005-0000-0000-00004D020000}"/>
    <cellStyle name="Normal 2 7 2 3 2 4 2" xfId="4194" xr:uid="{00000000-0005-0000-0000-00004E020000}"/>
    <cellStyle name="Normal 2 7 2 3 2 4 3" xfId="2885" xr:uid="{00000000-0005-0000-0000-00004F020000}"/>
    <cellStyle name="Normal 2 7 2 3 2 5" xfId="1474" xr:uid="{00000000-0005-0000-0000-000050020000}"/>
    <cellStyle name="Normal 2 7 2 3 2 5 2" xfId="4839" xr:uid="{00000000-0005-0000-0000-000051020000}"/>
    <cellStyle name="Normal 2 7 2 3 2 6" xfId="3524" xr:uid="{00000000-0005-0000-0000-000052020000}"/>
    <cellStyle name="Normal 2 7 2 3 2 7" xfId="2217" xr:uid="{00000000-0005-0000-0000-000053020000}"/>
    <cellStyle name="Normal 2 7 2 3 3" xfId="231" xr:uid="{00000000-0005-0000-0000-000054020000}"/>
    <cellStyle name="Normal 2 7 2 3 3 2" xfId="531" xr:uid="{00000000-0005-0000-0000-000055020000}"/>
    <cellStyle name="Normal 2 7 2 3 3 2 2" xfId="1204" xr:uid="{00000000-0005-0000-0000-000056020000}"/>
    <cellStyle name="Normal 2 7 2 3 3 2 2 2" xfId="4569" xr:uid="{00000000-0005-0000-0000-000057020000}"/>
    <cellStyle name="Normal 2 7 2 3 3 2 2 3" xfId="2890" xr:uid="{00000000-0005-0000-0000-000058020000}"/>
    <cellStyle name="Normal 2 7 2 3 3 2 3" xfId="1475" xr:uid="{00000000-0005-0000-0000-000059020000}"/>
    <cellStyle name="Normal 2 7 2 3 3 2 3 2" xfId="4840" xr:uid="{00000000-0005-0000-0000-00005A020000}"/>
    <cellStyle name="Normal 2 7 2 3 3 2 4" xfId="3899" xr:uid="{00000000-0005-0000-0000-00005B020000}"/>
    <cellStyle name="Normal 2 7 2 3 3 2 5" xfId="2222" xr:uid="{00000000-0005-0000-0000-00005C020000}"/>
    <cellStyle name="Normal 2 7 2 3 3 3" xfId="904" xr:uid="{00000000-0005-0000-0000-00005D020000}"/>
    <cellStyle name="Normal 2 7 2 3 3 3 2" xfId="4269" xr:uid="{00000000-0005-0000-0000-00005E020000}"/>
    <cellStyle name="Normal 2 7 2 3 3 3 3" xfId="2889" xr:uid="{00000000-0005-0000-0000-00005F020000}"/>
    <cellStyle name="Normal 2 7 2 3 3 4" xfId="1476" xr:uid="{00000000-0005-0000-0000-000060020000}"/>
    <cellStyle name="Normal 2 7 2 3 3 4 2" xfId="4841" xr:uid="{00000000-0005-0000-0000-000061020000}"/>
    <cellStyle name="Normal 2 7 2 3 3 5" xfId="3599" xr:uid="{00000000-0005-0000-0000-000062020000}"/>
    <cellStyle name="Normal 2 7 2 3 3 6" xfId="2221" xr:uid="{00000000-0005-0000-0000-000063020000}"/>
    <cellStyle name="Normal 2 7 2 3 4" xfId="381" xr:uid="{00000000-0005-0000-0000-000064020000}"/>
    <cellStyle name="Normal 2 7 2 3 4 2" xfId="1054" xr:uid="{00000000-0005-0000-0000-000065020000}"/>
    <cellStyle name="Normal 2 7 2 3 4 2 2" xfId="4419" xr:uid="{00000000-0005-0000-0000-000066020000}"/>
    <cellStyle name="Normal 2 7 2 3 4 2 3" xfId="2891" xr:uid="{00000000-0005-0000-0000-000067020000}"/>
    <cellStyle name="Normal 2 7 2 3 4 3" xfId="1477" xr:uid="{00000000-0005-0000-0000-000068020000}"/>
    <cellStyle name="Normal 2 7 2 3 4 3 2" xfId="4842" xr:uid="{00000000-0005-0000-0000-000069020000}"/>
    <cellStyle name="Normal 2 7 2 3 4 4" xfId="3749" xr:uid="{00000000-0005-0000-0000-00006A020000}"/>
    <cellStyle name="Normal 2 7 2 3 4 5" xfId="2223" xr:uid="{00000000-0005-0000-0000-00006B020000}"/>
    <cellStyle name="Normal 2 7 2 3 5" xfId="754" xr:uid="{00000000-0005-0000-0000-00006C020000}"/>
    <cellStyle name="Normal 2 7 2 3 5 2" xfId="4119" xr:uid="{00000000-0005-0000-0000-00006D020000}"/>
    <cellStyle name="Normal 2 7 2 3 5 3" xfId="2820" xr:uid="{00000000-0005-0000-0000-00006E020000}"/>
    <cellStyle name="Normal 2 7 2 3 6" xfId="1478" xr:uid="{00000000-0005-0000-0000-00006F020000}"/>
    <cellStyle name="Normal 2 7 2 3 6 2" xfId="4843" xr:uid="{00000000-0005-0000-0000-000070020000}"/>
    <cellStyle name="Normal 2 7 2 3 7" xfId="3449" xr:uid="{00000000-0005-0000-0000-000071020000}"/>
    <cellStyle name="Normal 2 7 2 3 8" xfId="2152" xr:uid="{00000000-0005-0000-0000-000072020000}"/>
    <cellStyle name="Normal 2 7 2 4" xfId="66" xr:uid="{00000000-0005-0000-0000-000073020000}"/>
    <cellStyle name="Normal 2 7 2 4 2" xfId="143" xr:uid="{00000000-0005-0000-0000-000074020000}"/>
    <cellStyle name="Normal 2 7 2 4 2 2" xfId="293" xr:uid="{00000000-0005-0000-0000-000075020000}"/>
    <cellStyle name="Normal 2 7 2 4 2 2 2" xfId="593" xr:uid="{00000000-0005-0000-0000-000076020000}"/>
    <cellStyle name="Normal 2 7 2 4 2 2 2 2" xfId="1266" xr:uid="{00000000-0005-0000-0000-000077020000}"/>
    <cellStyle name="Normal 2 7 2 4 2 2 2 2 2" xfId="4631" xr:uid="{00000000-0005-0000-0000-000078020000}"/>
    <cellStyle name="Normal 2 7 2 4 2 2 2 2 3" xfId="2894" xr:uid="{00000000-0005-0000-0000-000079020000}"/>
    <cellStyle name="Normal 2 7 2 4 2 2 2 3" xfId="1479" xr:uid="{00000000-0005-0000-0000-00007A020000}"/>
    <cellStyle name="Normal 2 7 2 4 2 2 2 3 2" xfId="4844" xr:uid="{00000000-0005-0000-0000-00007B020000}"/>
    <cellStyle name="Normal 2 7 2 4 2 2 2 4" xfId="3961" xr:uid="{00000000-0005-0000-0000-00007C020000}"/>
    <cellStyle name="Normal 2 7 2 4 2 2 2 5" xfId="2226" xr:uid="{00000000-0005-0000-0000-00007D020000}"/>
    <cellStyle name="Normal 2 7 2 4 2 2 3" xfId="966" xr:uid="{00000000-0005-0000-0000-00007E020000}"/>
    <cellStyle name="Normal 2 7 2 4 2 2 3 2" xfId="4331" xr:uid="{00000000-0005-0000-0000-00007F020000}"/>
    <cellStyle name="Normal 2 7 2 4 2 2 3 3" xfId="2893" xr:uid="{00000000-0005-0000-0000-000080020000}"/>
    <cellStyle name="Normal 2 7 2 4 2 2 4" xfId="1480" xr:uid="{00000000-0005-0000-0000-000081020000}"/>
    <cellStyle name="Normal 2 7 2 4 2 2 4 2" xfId="4845" xr:uid="{00000000-0005-0000-0000-000082020000}"/>
    <cellStyle name="Normal 2 7 2 4 2 2 5" xfId="3661" xr:uid="{00000000-0005-0000-0000-000083020000}"/>
    <cellStyle name="Normal 2 7 2 4 2 2 6" xfId="2225" xr:uid="{00000000-0005-0000-0000-000084020000}"/>
    <cellStyle name="Normal 2 7 2 4 2 3" xfId="443" xr:uid="{00000000-0005-0000-0000-000085020000}"/>
    <cellStyle name="Normal 2 7 2 4 2 3 2" xfId="1116" xr:uid="{00000000-0005-0000-0000-000086020000}"/>
    <cellStyle name="Normal 2 7 2 4 2 3 2 2" xfId="4481" xr:uid="{00000000-0005-0000-0000-000087020000}"/>
    <cellStyle name="Normal 2 7 2 4 2 3 2 3" xfId="2895" xr:uid="{00000000-0005-0000-0000-000088020000}"/>
    <cellStyle name="Normal 2 7 2 4 2 3 3" xfId="1481" xr:uid="{00000000-0005-0000-0000-000089020000}"/>
    <cellStyle name="Normal 2 7 2 4 2 3 3 2" xfId="4846" xr:uid="{00000000-0005-0000-0000-00008A020000}"/>
    <cellStyle name="Normal 2 7 2 4 2 3 4" xfId="3811" xr:uid="{00000000-0005-0000-0000-00008B020000}"/>
    <cellStyle name="Normal 2 7 2 4 2 3 5" xfId="2227" xr:uid="{00000000-0005-0000-0000-00008C020000}"/>
    <cellStyle name="Normal 2 7 2 4 2 4" xfId="816" xr:uid="{00000000-0005-0000-0000-00008D020000}"/>
    <cellStyle name="Normal 2 7 2 4 2 4 2" xfId="4181" xr:uid="{00000000-0005-0000-0000-00008E020000}"/>
    <cellStyle name="Normal 2 7 2 4 2 4 3" xfId="2892" xr:uid="{00000000-0005-0000-0000-00008F020000}"/>
    <cellStyle name="Normal 2 7 2 4 2 5" xfId="1482" xr:uid="{00000000-0005-0000-0000-000090020000}"/>
    <cellStyle name="Normal 2 7 2 4 2 5 2" xfId="4847" xr:uid="{00000000-0005-0000-0000-000091020000}"/>
    <cellStyle name="Normal 2 7 2 4 2 6" xfId="3511" xr:uid="{00000000-0005-0000-0000-000092020000}"/>
    <cellStyle name="Normal 2 7 2 4 2 7" xfId="2224" xr:uid="{00000000-0005-0000-0000-000093020000}"/>
    <cellStyle name="Normal 2 7 2 4 3" xfId="218" xr:uid="{00000000-0005-0000-0000-000094020000}"/>
    <cellStyle name="Normal 2 7 2 4 3 2" xfId="518" xr:uid="{00000000-0005-0000-0000-000095020000}"/>
    <cellStyle name="Normal 2 7 2 4 3 2 2" xfId="1191" xr:uid="{00000000-0005-0000-0000-000096020000}"/>
    <cellStyle name="Normal 2 7 2 4 3 2 2 2" xfId="4556" xr:uid="{00000000-0005-0000-0000-000097020000}"/>
    <cellStyle name="Normal 2 7 2 4 3 2 2 3" xfId="2897" xr:uid="{00000000-0005-0000-0000-000098020000}"/>
    <cellStyle name="Normal 2 7 2 4 3 2 3" xfId="1483" xr:uid="{00000000-0005-0000-0000-000099020000}"/>
    <cellStyle name="Normal 2 7 2 4 3 2 3 2" xfId="4848" xr:uid="{00000000-0005-0000-0000-00009A020000}"/>
    <cellStyle name="Normal 2 7 2 4 3 2 4" xfId="3886" xr:uid="{00000000-0005-0000-0000-00009B020000}"/>
    <cellStyle name="Normal 2 7 2 4 3 2 5" xfId="2229" xr:uid="{00000000-0005-0000-0000-00009C020000}"/>
    <cellStyle name="Normal 2 7 2 4 3 3" xfId="891" xr:uid="{00000000-0005-0000-0000-00009D020000}"/>
    <cellStyle name="Normal 2 7 2 4 3 3 2" xfId="4256" xr:uid="{00000000-0005-0000-0000-00009E020000}"/>
    <cellStyle name="Normal 2 7 2 4 3 3 3" xfId="2896" xr:uid="{00000000-0005-0000-0000-00009F020000}"/>
    <cellStyle name="Normal 2 7 2 4 3 4" xfId="1484" xr:uid="{00000000-0005-0000-0000-0000A0020000}"/>
    <cellStyle name="Normal 2 7 2 4 3 4 2" xfId="4849" xr:uid="{00000000-0005-0000-0000-0000A1020000}"/>
    <cellStyle name="Normal 2 7 2 4 3 5" xfId="3586" xr:uid="{00000000-0005-0000-0000-0000A2020000}"/>
    <cellStyle name="Normal 2 7 2 4 3 6" xfId="2228" xr:uid="{00000000-0005-0000-0000-0000A3020000}"/>
    <cellStyle name="Normal 2 7 2 4 4" xfId="368" xr:uid="{00000000-0005-0000-0000-0000A4020000}"/>
    <cellStyle name="Normal 2 7 2 4 4 2" xfId="1041" xr:uid="{00000000-0005-0000-0000-0000A5020000}"/>
    <cellStyle name="Normal 2 7 2 4 4 2 2" xfId="4406" xr:uid="{00000000-0005-0000-0000-0000A6020000}"/>
    <cellStyle name="Normal 2 7 2 4 4 2 3" xfId="2898" xr:uid="{00000000-0005-0000-0000-0000A7020000}"/>
    <cellStyle name="Normal 2 7 2 4 4 3" xfId="1485" xr:uid="{00000000-0005-0000-0000-0000A8020000}"/>
    <cellStyle name="Normal 2 7 2 4 4 3 2" xfId="4850" xr:uid="{00000000-0005-0000-0000-0000A9020000}"/>
    <cellStyle name="Normal 2 7 2 4 4 4" xfId="3736" xr:uid="{00000000-0005-0000-0000-0000AA020000}"/>
    <cellStyle name="Normal 2 7 2 4 4 5" xfId="2230" xr:uid="{00000000-0005-0000-0000-0000AB020000}"/>
    <cellStyle name="Normal 2 7 2 4 5" xfId="741" xr:uid="{00000000-0005-0000-0000-0000AC020000}"/>
    <cellStyle name="Normal 2 7 2 4 5 2" xfId="4106" xr:uid="{00000000-0005-0000-0000-0000AD020000}"/>
    <cellStyle name="Normal 2 7 2 4 5 3" xfId="2821" xr:uid="{00000000-0005-0000-0000-0000AE020000}"/>
    <cellStyle name="Normal 2 7 2 4 6" xfId="1486" xr:uid="{00000000-0005-0000-0000-0000AF020000}"/>
    <cellStyle name="Normal 2 7 2 4 6 2" xfId="4851" xr:uid="{00000000-0005-0000-0000-0000B0020000}"/>
    <cellStyle name="Normal 2 7 2 4 7" xfId="3436" xr:uid="{00000000-0005-0000-0000-0000B1020000}"/>
    <cellStyle name="Normal 2 7 2 4 8" xfId="2153" xr:uid="{00000000-0005-0000-0000-0000B2020000}"/>
    <cellStyle name="Normal 2 7 2 5" xfId="136" xr:uid="{00000000-0005-0000-0000-0000B3020000}"/>
    <cellStyle name="Normal 2 7 2 5 2" xfId="286" xr:uid="{00000000-0005-0000-0000-0000B4020000}"/>
    <cellStyle name="Normal 2 7 2 5 2 2" xfId="586" xr:uid="{00000000-0005-0000-0000-0000B5020000}"/>
    <cellStyle name="Normal 2 7 2 5 2 2 2" xfId="1259" xr:uid="{00000000-0005-0000-0000-0000B6020000}"/>
    <cellStyle name="Normal 2 7 2 5 2 2 2 2" xfId="4624" xr:uid="{00000000-0005-0000-0000-0000B7020000}"/>
    <cellStyle name="Normal 2 7 2 5 2 2 2 3" xfId="2901" xr:uid="{00000000-0005-0000-0000-0000B8020000}"/>
    <cellStyle name="Normal 2 7 2 5 2 2 3" xfId="1487" xr:uid="{00000000-0005-0000-0000-0000B9020000}"/>
    <cellStyle name="Normal 2 7 2 5 2 2 3 2" xfId="4852" xr:uid="{00000000-0005-0000-0000-0000BA020000}"/>
    <cellStyle name="Normal 2 7 2 5 2 2 4" xfId="3954" xr:uid="{00000000-0005-0000-0000-0000BB020000}"/>
    <cellStyle name="Normal 2 7 2 5 2 2 5" xfId="2233" xr:uid="{00000000-0005-0000-0000-0000BC020000}"/>
    <cellStyle name="Normal 2 7 2 5 2 3" xfId="959" xr:uid="{00000000-0005-0000-0000-0000BD020000}"/>
    <cellStyle name="Normal 2 7 2 5 2 3 2" xfId="4324" xr:uid="{00000000-0005-0000-0000-0000BE020000}"/>
    <cellStyle name="Normal 2 7 2 5 2 3 3" xfId="2900" xr:uid="{00000000-0005-0000-0000-0000BF020000}"/>
    <cellStyle name="Normal 2 7 2 5 2 4" xfId="1488" xr:uid="{00000000-0005-0000-0000-0000C0020000}"/>
    <cellStyle name="Normal 2 7 2 5 2 4 2" xfId="4853" xr:uid="{00000000-0005-0000-0000-0000C1020000}"/>
    <cellStyle name="Normal 2 7 2 5 2 5" xfId="3654" xr:uid="{00000000-0005-0000-0000-0000C2020000}"/>
    <cellStyle name="Normal 2 7 2 5 2 6" xfId="2232" xr:uid="{00000000-0005-0000-0000-0000C3020000}"/>
    <cellStyle name="Normal 2 7 2 5 3" xfId="436" xr:uid="{00000000-0005-0000-0000-0000C4020000}"/>
    <cellStyle name="Normal 2 7 2 5 3 2" xfId="1109" xr:uid="{00000000-0005-0000-0000-0000C5020000}"/>
    <cellStyle name="Normal 2 7 2 5 3 2 2" xfId="4474" xr:uid="{00000000-0005-0000-0000-0000C6020000}"/>
    <cellStyle name="Normal 2 7 2 5 3 2 3" xfId="2902" xr:uid="{00000000-0005-0000-0000-0000C7020000}"/>
    <cellStyle name="Normal 2 7 2 5 3 3" xfId="1489" xr:uid="{00000000-0005-0000-0000-0000C8020000}"/>
    <cellStyle name="Normal 2 7 2 5 3 3 2" xfId="4854" xr:uid="{00000000-0005-0000-0000-0000C9020000}"/>
    <cellStyle name="Normal 2 7 2 5 3 4" xfId="3804" xr:uid="{00000000-0005-0000-0000-0000CA020000}"/>
    <cellStyle name="Normal 2 7 2 5 3 5" xfId="2234" xr:uid="{00000000-0005-0000-0000-0000CB020000}"/>
    <cellStyle name="Normal 2 7 2 5 4" xfId="809" xr:uid="{00000000-0005-0000-0000-0000CC020000}"/>
    <cellStyle name="Normal 2 7 2 5 4 2" xfId="4174" xr:uid="{00000000-0005-0000-0000-0000CD020000}"/>
    <cellStyle name="Normal 2 7 2 5 4 3" xfId="2899" xr:uid="{00000000-0005-0000-0000-0000CE020000}"/>
    <cellStyle name="Normal 2 7 2 5 5" xfId="1490" xr:uid="{00000000-0005-0000-0000-0000CF020000}"/>
    <cellStyle name="Normal 2 7 2 5 5 2" xfId="4855" xr:uid="{00000000-0005-0000-0000-0000D0020000}"/>
    <cellStyle name="Normal 2 7 2 5 6" xfId="3504" xr:uid="{00000000-0005-0000-0000-0000D1020000}"/>
    <cellStyle name="Normal 2 7 2 5 7" xfId="2231" xr:uid="{00000000-0005-0000-0000-0000D2020000}"/>
    <cellStyle name="Normal 2 7 2 6" xfId="211" xr:uid="{00000000-0005-0000-0000-0000D3020000}"/>
    <cellStyle name="Normal 2 7 2 6 2" xfId="511" xr:uid="{00000000-0005-0000-0000-0000D4020000}"/>
    <cellStyle name="Normal 2 7 2 6 2 2" xfId="1184" xr:uid="{00000000-0005-0000-0000-0000D5020000}"/>
    <cellStyle name="Normal 2 7 2 6 2 2 2" xfId="4549" xr:uid="{00000000-0005-0000-0000-0000D6020000}"/>
    <cellStyle name="Normal 2 7 2 6 2 2 3" xfId="2904" xr:uid="{00000000-0005-0000-0000-0000D7020000}"/>
    <cellStyle name="Normal 2 7 2 6 2 3" xfId="1491" xr:uid="{00000000-0005-0000-0000-0000D8020000}"/>
    <cellStyle name="Normal 2 7 2 6 2 3 2" xfId="4856" xr:uid="{00000000-0005-0000-0000-0000D9020000}"/>
    <cellStyle name="Normal 2 7 2 6 2 4" xfId="3879" xr:uid="{00000000-0005-0000-0000-0000DA020000}"/>
    <cellStyle name="Normal 2 7 2 6 2 5" xfId="2236" xr:uid="{00000000-0005-0000-0000-0000DB020000}"/>
    <cellStyle name="Normal 2 7 2 6 3" xfId="884" xr:uid="{00000000-0005-0000-0000-0000DC020000}"/>
    <cellStyle name="Normal 2 7 2 6 3 2" xfId="4249" xr:uid="{00000000-0005-0000-0000-0000DD020000}"/>
    <cellStyle name="Normal 2 7 2 6 3 3" xfId="2903" xr:uid="{00000000-0005-0000-0000-0000DE020000}"/>
    <cellStyle name="Normal 2 7 2 6 4" xfId="1492" xr:uid="{00000000-0005-0000-0000-0000DF020000}"/>
    <cellStyle name="Normal 2 7 2 6 4 2" xfId="4857" xr:uid="{00000000-0005-0000-0000-0000E0020000}"/>
    <cellStyle name="Normal 2 7 2 6 5" xfId="3579" xr:uid="{00000000-0005-0000-0000-0000E1020000}"/>
    <cellStyle name="Normal 2 7 2 6 6" xfId="2235" xr:uid="{00000000-0005-0000-0000-0000E2020000}"/>
    <cellStyle name="Normal 2 7 2 7" xfId="361" xr:uid="{00000000-0005-0000-0000-0000E3020000}"/>
    <cellStyle name="Normal 2 7 2 7 2" xfId="1034" xr:uid="{00000000-0005-0000-0000-0000E4020000}"/>
    <cellStyle name="Normal 2 7 2 7 2 2" xfId="4399" xr:uid="{00000000-0005-0000-0000-0000E5020000}"/>
    <cellStyle name="Normal 2 7 2 7 2 3" xfId="2905" xr:uid="{00000000-0005-0000-0000-0000E6020000}"/>
    <cellStyle name="Normal 2 7 2 7 3" xfId="1493" xr:uid="{00000000-0005-0000-0000-0000E7020000}"/>
    <cellStyle name="Normal 2 7 2 7 3 2" xfId="4858" xr:uid="{00000000-0005-0000-0000-0000E8020000}"/>
    <cellStyle name="Normal 2 7 2 7 4" xfId="3729" xr:uid="{00000000-0005-0000-0000-0000E9020000}"/>
    <cellStyle name="Normal 2 7 2 7 5" xfId="2237" xr:uid="{00000000-0005-0000-0000-0000EA020000}"/>
    <cellStyle name="Normal 2 7 2 8" xfId="667" xr:uid="{00000000-0005-0000-0000-0000EB020000}"/>
    <cellStyle name="Normal 2 7 2 8 2" xfId="1340" xr:uid="{00000000-0005-0000-0000-0000EC020000}"/>
    <cellStyle name="Normal 2 7 2 8 2 2" xfId="4705" xr:uid="{00000000-0005-0000-0000-0000ED020000}"/>
    <cellStyle name="Normal 2 7 2 8 2 3" xfId="2906" xr:uid="{00000000-0005-0000-0000-0000EE020000}"/>
    <cellStyle name="Normal 2 7 2 8 3" xfId="1494" xr:uid="{00000000-0005-0000-0000-0000EF020000}"/>
    <cellStyle name="Normal 2 7 2 8 3 2" xfId="4859" xr:uid="{00000000-0005-0000-0000-0000F0020000}"/>
    <cellStyle name="Normal 2 7 2 8 4" xfId="4035" xr:uid="{00000000-0005-0000-0000-0000F1020000}"/>
    <cellStyle name="Normal 2 7 2 8 5" xfId="2238" xr:uid="{00000000-0005-0000-0000-0000F2020000}"/>
    <cellStyle name="Normal 2 7 2 9" xfId="734" xr:uid="{00000000-0005-0000-0000-0000F3020000}"/>
    <cellStyle name="Normal 2 7 2 9 2" xfId="4099" xr:uid="{00000000-0005-0000-0000-0000F4020000}"/>
    <cellStyle name="Normal 2 7 2 9 3" xfId="2762" xr:uid="{00000000-0005-0000-0000-0000F5020000}"/>
    <cellStyle name="Normal 2 7 3" xfId="84" xr:uid="{00000000-0005-0000-0000-0000F6020000}"/>
    <cellStyle name="Normal 2 7 3 10" xfId="2100" xr:uid="{00000000-0005-0000-0000-0000F7020000}"/>
    <cellStyle name="Normal 2 7 3 2" xfId="111" xr:uid="{00000000-0005-0000-0000-0000F8020000}"/>
    <cellStyle name="Normal 2 7 3 2 2" xfId="186" xr:uid="{00000000-0005-0000-0000-0000F9020000}"/>
    <cellStyle name="Normal 2 7 3 2 2 2" xfId="336" xr:uid="{00000000-0005-0000-0000-0000FA020000}"/>
    <cellStyle name="Normal 2 7 3 2 2 2 2" xfId="636" xr:uid="{00000000-0005-0000-0000-0000FB020000}"/>
    <cellStyle name="Normal 2 7 3 2 2 2 2 2" xfId="1309" xr:uid="{00000000-0005-0000-0000-0000FC020000}"/>
    <cellStyle name="Normal 2 7 3 2 2 2 2 2 2" xfId="4674" xr:uid="{00000000-0005-0000-0000-0000FD020000}"/>
    <cellStyle name="Normal 2 7 3 2 2 2 2 2 3" xfId="2909" xr:uid="{00000000-0005-0000-0000-0000FE020000}"/>
    <cellStyle name="Normal 2 7 3 2 2 2 2 3" xfId="1495" xr:uid="{00000000-0005-0000-0000-0000FF020000}"/>
    <cellStyle name="Normal 2 7 3 2 2 2 2 3 2" xfId="4860" xr:uid="{00000000-0005-0000-0000-000000030000}"/>
    <cellStyle name="Normal 2 7 3 2 2 2 2 4" xfId="4004" xr:uid="{00000000-0005-0000-0000-000001030000}"/>
    <cellStyle name="Normal 2 7 3 2 2 2 2 5" xfId="2241" xr:uid="{00000000-0005-0000-0000-000002030000}"/>
    <cellStyle name="Normal 2 7 3 2 2 2 3" xfId="1009" xr:uid="{00000000-0005-0000-0000-000003030000}"/>
    <cellStyle name="Normal 2 7 3 2 2 2 3 2" xfId="4374" xr:uid="{00000000-0005-0000-0000-000004030000}"/>
    <cellStyle name="Normal 2 7 3 2 2 2 3 3" xfId="2908" xr:uid="{00000000-0005-0000-0000-000005030000}"/>
    <cellStyle name="Normal 2 7 3 2 2 2 4" xfId="1496" xr:uid="{00000000-0005-0000-0000-000006030000}"/>
    <cellStyle name="Normal 2 7 3 2 2 2 4 2" xfId="4861" xr:uid="{00000000-0005-0000-0000-000007030000}"/>
    <cellStyle name="Normal 2 7 3 2 2 2 5" xfId="3704" xr:uid="{00000000-0005-0000-0000-000008030000}"/>
    <cellStyle name="Normal 2 7 3 2 2 2 6" xfId="2240" xr:uid="{00000000-0005-0000-0000-000009030000}"/>
    <cellStyle name="Normal 2 7 3 2 2 3" xfId="486" xr:uid="{00000000-0005-0000-0000-00000A030000}"/>
    <cellStyle name="Normal 2 7 3 2 2 3 2" xfId="1159" xr:uid="{00000000-0005-0000-0000-00000B030000}"/>
    <cellStyle name="Normal 2 7 3 2 2 3 2 2" xfId="4524" xr:uid="{00000000-0005-0000-0000-00000C030000}"/>
    <cellStyle name="Normal 2 7 3 2 2 3 2 3" xfId="2910" xr:uid="{00000000-0005-0000-0000-00000D030000}"/>
    <cellStyle name="Normal 2 7 3 2 2 3 3" xfId="1497" xr:uid="{00000000-0005-0000-0000-00000E030000}"/>
    <cellStyle name="Normal 2 7 3 2 2 3 3 2" xfId="4862" xr:uid="{00000000-0005-0000-0000-00000F030000}"/>
    <cellStyle name="Normal 2 7 3 2 2 3 4" xfId="3854" xr:uid="{00000000-0005-0000-0000-000010030000}"/>
    <cellStyle name="Normal 2 7 3 2 2 3 5" xfId="2242" xr:uid="{00000000-0005-0000-0000-000011030000}"/>
    <cellStyle name="Normal 2 7 3 2 2 4" xfId="859" xr:uid="{00000000-0005-0000-0000-000012030000}"/>
    <cellStyle name="Normal 2 7 3 2 2 4 2" xfId="4224" xr:uid="{00000000-0005-0000-0000-000013030000}"/>
    <cellStyle name="Normal 2 7 3 2 2 4 3" xfId="2907" xr:uid="{00000000-0005-0000-0000-000014030000}"/>
    <cellStyle name="Normal 2 7 3 2 2 5" xfId="1498" xr:uid="{00000000-0005-0000-0000-000015030000}"/>
    <cellStyle name="Normal 2 7 3 2 2 5 2" xfId="4863" xr:uid="{00000000-0005-0000-0000-000016030000}"/>
    <cellStyle name="Normal 2 7 3 2 2 6" xfId="3554" xr:uid="{00000000-0005-0000-0000-000017030000}"/>
    <cellStyle name="Normal 2 7 3 2 2 7" xfId="2239" xr:uid="{00000000-0005-0000-0000-000018030000}"/>
    <cellStyle name="Normal 2 7 3 2 3" xfId="261" xr:uid="{00000000-0005-0000-0000-000019030000}"/>
    <cellStyle name="Normal 2 7 3 2 3 2" xfId="561" xr:uid="{00000000-0005-0000-0000-00001A030000}"/>
    <cellStyle name="Normal 2 7 3 2 3 2 2" xfId="1234" xr:uid="{00000000-0005-0000-0000-00001B030000}"/>
    <cellStyle name="Normal 2 7 3 2 3 2 2 2" xfId="4599" xr:uid="{00000000-0005-0000-0000-00001C030000}"/>
    <cellStyle name="Normal 2 7 3 2 3 2 2 3" xfId="2912" xr:uid="{00000000-0005-0000-0000-00001D030000}"/>
    <cellStyle name="Normal 2 7 3 2 3 2 3" xfId="1499" xr:uid="{00000000-0005-0000-0000-00001E030000}"/>
    <cellStyle name="Normal 2 7 3 2 3 2 3 2" xfId="4864" xr:uid="{00000000-0005-0000-0000-00001F030000}"/>
    <cellStyle name="Normal 2 7 3 2 3 2 4" xfId="3929" xr:uid="{00000000-0005-0000-0000-000020030000}"/>
    <cellStyle name="Normal 2 7 3 2 3 2 5" xfId="2244" xr:uid="{00000000-0005-0000-0000-000021030000}"/>
    <cellStyle name="Normal 2 7 3 2 3 3" xfId="934" xr:uid="{00000000-0005-0000-0000-000022030000}"/>
    <cellStyle name="Normal 2 7 3 2 3 3 2" xfId="4299" xr:uid="{00000000-0005-0000-0000-000023030000}"/>
    <cellStyle name="Normal 2 7 3 2 3 3 3" xfId="2911" xr:uid="{00000000-0005-0000-0000-000024030000}"/>
    <cellStyle name="Normal 2 7 3 2 3 4" xfId="1500" xr:uid="{00000000-0005-0000-0000-000025030000}"/>
    <cellStyle name="Normal 2 7 3 2 3 4 2" xfId="4865" xr:uid="{00000000-0005-0000-0000-000026030000}"/>
    <cellStyle name="Normal 2 7 3 2 3 5" xfId="3629" xr:uid="{00000000-0005-0000-0000-000027030000}"/>
    <cellStyle name="Normal 2 7 3 2 3 6" xfId="2243" xr:uid="{00000000-0005-0000-0000-000028030000}"/>
    <cellStyle name="Normal 2 7 3 2 4" xfId="411" xr:uid="{00000000-0005-0000-0000-000029030000}"/>
    <cellStyle name="Normal 2 7 3 2 4 2" xfId="1084" xr:uid="{00000000-0005-0000-0000-00002A030000}"/>
    <cellStyle name="Normal 2 7 3 2 4 2 2" xfId="4449" xr:uid="{00000000-0005-0000-0000-00002B030000}"/>
    <cellStyle name="Normal 2 7 3 2 4 2 3" xfId="2913" xr:uid="{00000000-0005-0000-0000-00002C030000}"/>
    <cellStyle name="Normal 2 7 3 2 4 3" xfId="1501" xr:uid="{00000000-0005-0000-0000-00002D030000}"/>
    <cellStyle name="Normal 2 7 3 2 4 3 2" xfId="4866" xr:uid="{00000000-0005-0000-0000-00002E030000}"/>
    <cellStyle name="Normal 2 7 3 2 4 4" xfId="3779" xr:uid="{00000000-0005-0000-0000-00002F030000}"/>
    <cellStyle name="Normal 2 7 3 2 4 5" xfId="2245" xr:uid="{00000000-0005-0000-0000-000030030000}"/>
    <cellStyle name="Normal 2 7 3 2 5" xfId="697" xr:uid="{00000000-0005-0000-0000-000031030000}"/>
    <cellStyle name="Normal 2 7 3 2 5 2" xfId="1370" xr:uid="{00000000-0005-0000-0000-000032030000}"/>
    <cellStyle name="Normal 2 7 3 2 5 2 2" xfId="4735" xr:uid="{00000000-0005-0000-0000-000033030000}"/>
    <cellStyle name="Normal 2 7 3 2 5 2 3" xfId="2914" xr:uid="{00000000-0005-0000-0000-000034030000}"/>
    <cellStyle name="Normal 2 7 3 2 5 3" xfId="1502" xr:uid="{00000000-0005-0000-0000-000035030000}"/>
    <cellStyle name="Normal 2 7 3 2 5 3 2" xfId="4867" xr:uid="{00000000-0005-0000-0000-000036030000}"/>
    <cellStyle name="Normal 2 7 3 2 5 4" xfId="4065" xr:uid="{00000000-0005-0000-0000-000037030000}"/>
    <cellStyle name="Normal 2 7 3 2 5 5" xfId="2246" xr:uid="{00000000-0005-0000-0000-000038030000}"/>
    <cellStyle name="Normal 2 7 3 2 6" xfId="784" xr:uid="{00000000-0005-0000-0000-000039030000}"/>
    <cellStyle name="Normal 2 7 3 2 6 2" xfId="4149" xr:uid="{00000000-0005-0000-0000-00003A030000}"/>
    <cellStyle name="Normal 2 7 3 2 6 3" xfId="2797" xr:uid="{00000000-0005-0000-0000-00003B030000}"/>
    <cellStyle name="Normal 2 7 3 2 7" xfId="1503" xr:uid="{00000000-0005-0000-0000-00003C030000}"/>
    <cellStyle name="Normal 2 7 3 2 7 2" xfId="4868" xr:uid="{00000000-0005-0000-0000-00003D030000}"/>
    <cellStyle name="Normal 2 7 3 2 8" xfId="3479" xr:uid="{00000000-0005-0000-0000-00003E030000}"/>
    <cellStyle name="Normal 2 7 3 2 9" xfId="2126" xr:uid="{00000000-0005-0000-0000-00003F030000}"/>
    <cellStyle name="Normal 2 7 3 3" xfId="160" xr:uid="{00000000-0005-0000-0000-000040030000}"/>
    <cellStyle name="Normal 2 7 3 3 2" xfId="310" xr:uid="{00000000-0005-0000-0000-000041030000}"/>
    <cellStyle name="Normal 2 7 3 3 2 2" xfId="610" xr:uid="{00000000-0005-0000-0000-000042030000}"/>
    <cellStyle name="Normal 2 7 3 3 2 2 2" xfId="1283" xr:uid="{00000000-0005-0000-0000-000043030000}"/>
    <cellStyle name="Normal 2 7 3 3 2 2 2 2" xfId="4648" xr:uid="{00000000-0005-0000-0000-000044030000}"/>
    <cellStyle name="Normal 2 7 3 3 2 2 2 3" xfId="2917" xr:uid="{00000000-0005-0000-0000-000045030000}"/>
    <cellStyle name="Normal 2 7 3 3 2 2 3" xfId="1504" xr:uid="{00000000-0005-0000-0000-000046030000}"/>
    <cellStyle name="Normal 2 7 3 3 2 2 3 2" xfId="4869" xr:uid="{00000000-0005-0000-0000-000047030000}"/>
    <cellStyle name="Normal 2 7 3 3 2 2 4" xfId="3978" xr:uid="{00000000-0005-0000-0000-000048030000}"/>
    <cellStyle name="Normal 2 7 3 3 2 2 5" xfId="2249" xr:uid="{00000000-0005-0000-0000-000049030000}"/>
    <cellStyle name="Normal 2 7 3 3 2 3" xfId="983" xr:uid="{00000000-0005-0000-0000-00004A030000}"/>
    <cellStyle name="Normal 2 7 3 3 2 3 2" xfId="4348" xr:uid="{00000000-0005-0000-0000-00004B030000}"/>
    <cellStyle name="Normal 2 7 3 3 2 3 3" xfId="2916" xr:uid="{00000000-0005-0000-0000-00004C030000}"/>
    <cellStyle name="Normal 2 7 3 3 2 4" xfId="1505" xr:uid="{00000000-0005-0000-0000-00004D030000}"/>
    <cellStyle name="Normal 2 7 3 3 2 4 2" xfId="4870" xr:uid="{00000000-0005-0000-0000-00004E030000}"/>
    <cellStyle name="Normal 2 7 3 3 2 5" xfId="3678" xr:uid="{00000000-0005-0000-0000-00004F030000}"/>
    <cellStyle name="Normal 2 7 3 3 2 6" xfId="2248" xr:uid="{00000000-0005-0000-0000-000050030000}"/>
    <cellStyle name="Normal 2 7 3 3 3" xfId="460" xr:uid="{00000000-0005-0000-0000-000051030000}"/>
    <cellStyle name="Normal 2 7 3 3 3 2" xfId="1133" xr:uid="{00000000-0005-0000-0000-000052030000}"/>
    <cellStyle name="Normal 2 7 3 3 3 2 2" xfId="4498" xr:uid="{00000000-0005-0000-0000-000053030000}"/>
    <cellStyle name="Normal 2 7 3 3 3 2 3" xfId="2918" xr:uid="{00000000-0005-0000-0000-000054030000}"/>
    <cellStyle name="Normal 2 7 3 3 3 3" xfId="1506" xr:uid="{00000000-0005-0000-0000-000055030000}"/>
    <cellStyle name="Normal 2 7 3 3 3 3 2" xfId="4871" xr:uid="{00000000-0005-0000-0000-000056030000}"/>
    <cellStyle name="Normal 2 7 3 3 3 4" xfId="3828" xr:uid="{00000000-0005-0000-0000-000057030000}"/>
    <cellStyle name="Normal 2 7 3 3 3 5" xfId="2250" xr:uid="{00000000-0005-0000-0000-000058030000}"/>
    <cellStyle name="Normal 2 7 3 3 4" xfId="833" xr:uid="{00000000-0005-0000-0000-000059030000}"/>
    <cellStyle name="Normal 2 7 3 3 4 2" xfId="4198" xr:uid="{00000000-0005-0000-0000-00005A030000}"/>
    <cellStyle name="Normal 2 7 3 3 4 3" xfId="2915" xr:uid="{00000000-0005-0000-0000-00005B030000}"/>
    <cellStyle name="Normal 2 7 3 3 5" xfId="1507" xr:uid="{00000000-0005-0000-0000-00005C030000}"/>
    <cellStyle name="Normal 2 7 3 3 5 2" xfId="4872" xr:uid="{00000000-0005-0000-0000-00005D030000}"/>
    <cellStyle name="Normal 2 7 3 3 6" xfId="3528" xr:uid="{00000000-0005-0000-0000-00005E030000}"/>
    <cellStyle name="Normal 2 7 3 3 7" xfId="2247" xr:uid="{00000000-0005-0000-0000-00005F030000}"/>
    <cellStyle name="Normal 2 7 3 4" xfId="235" xr:uid="{00000000-0005-0000-0000-000060030000}"/>
    <cellStyle name="Normal 2 7 3 4 2" xfId="535" xr:uid="{00000000-0005-0000-0000-000061030000}"/>
    <cellStyle name="Normal 2 7 3 4 2 2" xfId="1208" xr:uid="{00000000-0005-0000-0000-000062030000}"/>
    <cellStyle name="Normal 2 7 3 4 2 2 2" xfId="4573" xr:uid="{00000000-0005-0000-0000-000063030000}"/>
    <cellStyle name="Normal 2 7 3 4 2 2 3" xfId="2920" xr:uid="{00000000-0005-0000-0000-000064030000}"/>
    <cellStyle name="Normal 2 7 3 4 2 3" xfId="1508" xr:uid="{00000000-0005-0000-0000-000065030000}"/>
    <cellStyle name="Normal 2 7 3 4 2 3 2" xfId="4873" xr:uid="{00000000-0005-0000-0000-000066030000}"/>
    <cellStyle name="Normal 2 7 3 4 2 4" xfId="3903" xr:uid="{00000000-0005-0000-0000-000067030000}"/>
    <cellStyle name="Normal 2 7 3 4 2 5" xfId="2252" xr:uid="{00000000-0005-0000-0000-000068030000}"/>
    <cellStyle name="Normal 2 7 3 4 3" xfId="908" xr:uid="{00000000-0005-0000-0000-000069030000}"/>
    <cellStyle name="Normal 2 7 3 4 3 2" xfId="4273" xr:uid="{00000000-0005-0000-0000-00006A030000}"/>
    <cellStyle name="Normal 2 7 3 4 3 3" xfId="2919" xr:uid="{00000000-0005-0000-0000-00006B030000}"/>
    <cellStyle name="Normal 2 7 3 4 4" xfId="1509" xr:uid="{00000000-0005-0000-0000-00006C030000}"/>
    <cellStyle name="Normal 2 7 3 4 4 2" xfId="4874" xr:uid="{00000000-0005-0000-0000-00006D030000}"/>
    <cellStyle name="Normal 2 7 3 4 5" xfId="3603" xr:uid="{00000000-0005-0000-0000-00006E030000}"/>
    <cellStyle name="Normal 2 7 3 4 6" xfId="2251" xr:uid="{00000000-0005-0000-0000-00006F030000}"/>
    <cellStyle name="Normal 2 7 3 5" xfId="385" xr:uid="{00000000-0005-0000-0000-000070030000}"/>
    <cellStyle name="Normal 2 7 3 5 2" xfId="1058" xr:uid="{00000000-0005-0000-0000-000071030000}"/>
    <cellStyle name="Normal 2 7 3 5 2 2" xfId="4423" xr:uid="{00000000-0005-0000-0000-000072030000}"/>
    <cellStyle name="Normal 2 7 3 5 2 3" xfId="2921" xr:uid="{00000000-0005-0000-0000-000073030000}"/>
    <cellStyle name="Normal 2 7 3 5 3" xfId="1510" xr:uid="{00000000-0005-0000-0000-000074030000}"/>
    <cellStyle name="Normal 2 7 3 5 3 2" xfId="4875" xr:uid="{00000000-0005-0000-0000-000075030000}"/>
    <cellStyle name="Normal 2 7 3 5 4" xfId="3753" xr:uid="{00000000-0005-0000-0000-000076030000}"/>
    <cellStyle name="Normal 2 7 3 5 5" xfId="2253" xr:uid="{00000000-0005-0000-0000-000077030000}"/>
    <cellStyle name="Normal 2 7 3 6" xfId="671" xr:uid="{00000000-0005-0000-0000-000078030000}"/>
    <cellStyle name="Normal 2 7 3 6 2" xfId="1344" xr:uid="{00000000-0005-0000-0000-000079030000}"/>
    <cellStyle name="Normal 2 7 3 6 2 2" xfId="4709" xr:uid="{00000000-0005-0000-0000-00007A030000}"/>
    <cellStyle name="Normal 2 7 3 6 2 3" xfId="2922" xr:uid="{00000000-0005-0000-0000-00007B030000}"/>
    <cellStyle name="Normal 2 7 3 6 3" xfId="1511" xr:uid="{00000000-0005-0000-0000-00007C030000}"/>
    <cellStyle name="Normal 2 7 3 6 3 2" xfId="4876" xr:uid="{00000000-0005-0000-0000-00007D030000}"/>
    <cellStyle name="Normal 2 7 3 6 4" xfId="4039" xr:uid="{00000000-0005-0000-0000-00007E030000}"/>
    <cellStyle name="Normal 2 7 3 6 5" xfId="2254" xr:uid="{00000000-0005-0000-0000-00007F030000}"/>
    <cellStyle name="Normal 2 7 3 7" xfId="758" xr:uid="{00000000-0005-0000-0000-000080030000}"/>
    <cellStyle name="Normal 2 7 3 7 2" xfId="4123" xr:uid="{00000000-0005-0000-0000-000081030000}"/>
    <cellStyle name="Normal 2 7 3 7 3" xfId="2771" xr:uid="{00000000-0005-0000-0000-000082030000}"/>
    <cellStyle name="Normal 2 7 3 8" xfId="1512" xr:uid="{00000000-0005-0000-0000-000083030000}"/>
    <cellStyle name="Normal 2 7 3 8 2" xfId="4877" xr:uid="{00000000-0005-0000-0000-000084030000}"/>
    <cellStyle name="Normal 2 7 3 9" xfId="3453" xr:uid="{00000000-0005-0000-0000-000085030000}"/>
    <cellStyle name="Normal 2 7 4" xfId="94" xr:uid="{00000000-0005-0000-0000-000086030000}"/>
    <cellStyle name="Normal 2 7 4 10" xfId="2109" xr:uid="{00000000-0005-0000-0000-000087030000}"/>
    <cellStyle name="Normal 2 7 4 2" xfId="120" xr:uid="{00000000-0005-0000-0000-000088030000}"/>
    <cellStyle name="Normal 2 7 4 2 2" xfId="195" xr:uid="{00000000-0005-0000-0000-000089030000}"/>
    <cellStyle name="Normal 2 7 4 2 2 2" xfId="345" xr:uid="{00000000-0005-0000-0000-00008A030000}"/>
    <cellStyle name="Normal 2 7 4 2 2 2 2" xfId="645" xr:uid="{00000000-0005-0000-0000-00008B030000}"/>
    <cellStyle name="Normal 2 7 4 2 2 2 2 2" xfId="1318" xr:uid="{00000000-0005-0000-0000-00008C030000}"/>
    <cellStyle name="Normal 2 7 4 2 2 2 2 2 2" xfId="4683" xr:uid="{00000000-0005-0000-0000-00008D030000}"/>
    <cellStyle name="Normal 2 7 4 2 2 2 2 2 3" xfId="2925" xr:uid="{00000000-0005-0000-0000-00008E030000}"/>
    <cellStyle name="Normal 2 7 4 2 2 2 2 3" xfId="1513" xr:uid="{00000000-0005-0000-0000-00008F030000}"/>
    <cellStyle name="Normal 2 7 4 2 2 2 2 3 2" xfId="4878" xr:uid="{00000000-0005-0000-0000-000090030000}"/>
    <cellStyle name="Normal 2 7 4 2 2 2 2 4" xfId="4013" xr:uid="{00000000-0005-0000-0000-000091030000}"/>
    <cellStyle name="Normal 2 7 4 2 2 2 2 5" xfId="2257" xr:uid="{00000000-0005-0000-0000-000092030000}"/>
    <cellStyle name="Normal 2 7 4 2 2 2 3" xfId="1018" xr:uid="{00000000-0005-0000-0000-000093030000}"/>
    <cellStyle name="Normal 2 7 4 2 2 2 3 2" xfId="4383" xr:uid="{00000000-0005-0000-0000-000094030000}"/>
    <cellStyle name="Normal 2 7 4 2 2 2 3 3" xfId="2924" xr:uid="{00000000-0005-0000-0000-000095030000}"/>
    <cellStyle name="Normal 2 7 4 2 2 2 4" xfId="1514" xr:uid="{00000000-0005-0000-0000-000096030000}"/>
    <cellStyle name="Normal 2 7 4 2 2 2 4 2" xfId="4879" xr:uid="{00000000-0005-0000-0000-000097030000}"/>
    <cellStyle name="Normal 2 7 4 2 2 2 5" xfId="3713" xr:uid="{00000000-0005-0000-0000-000098030000}"/>
    <cellStyle name="Normal 2 7 4 2 2 2 6" xfId="2256" xr:uid="{00000000-0005-0000-0000-000099030000}"/>
    <cellStyle name="Normal 2 7 4 2 2 3" xfId="495" xr:uid="{00000000-0005-0000-0000-00009A030000}"/>
    <cellStyle name="Normal 2 7 4 2 2 3 2" xfId="1168" xr:uid="{00000000-0005-0000-0000-00009B030000}"/>
    <cellStyle name="Normal 2 7 4 2 2 3 2 2" xfId="4533" xr:uid="{00000000-0005-0000-0000-00009C030000}"/>
    <cellStyle name="Normal 2 7 4 2 2 3 2 3" xfId="2926" xr:uid="{00000000-0005-0000-0000-00009D030000}"/>
    <cellStyle name="Normal 2 7 4 2 2 3 3" xfId="1515" xr:uid="{00000000-0005-0000-0000-00009E030000}"/>
    <cellStyle name="Normal 2 7 4 2 2 3 3 2" xfId="4880" xr:uid="{00000000-0005-0000-0000-00009F030000}"/>
    <cellStyle name="Normal 2 7 4 2 2 3 4" xfId="3863" xr:uid="{00000000-0005-0000-0000-0000A0030000}"/>
    <cellStyle name="Normal 2 7 4 2 2 3 5" xfId="2258" xr:uid="{00000000-0005-0000-0000-0000A1030000}"/>
    <cellStyle name="Normal 2 7 4 2 2 4" xfId="868" xr:uid="{00000000-0005-0000-0000-0000A2030000}"/>
    <cellStyle name="Normal 2 7 4 2 2 4 2" xfId="4233" xr:uid="{00000000-0005-0000-0000-0000A3030000}"/>
    <cellStyle name="Normal 2 7 4 2 2 4 3" xfId="2923" xr:uid="{00000000-0005-0000-0000-0000A4030000}"/>
    <cellStyle name="Normal 2 7 4 2 2 5" xfId="1516" xr:uid="{00000000-0005-0000-0000-0000A5030000}"/>
    <cellStyle name="Normal 2 7 4 2 2 5 2" xfId="4881" xr:uid="{00000000-0005-0000-0000-0000A6030000}"/>
    <cellStyle name="Normal 2 7 4 2 2 6" xfId="3563" xr:uid="{00000000-0005-0000-0000-0000A7030000}"/>
    <cellStyle name="Normal 2 7 4 2 2 7" xfId="2255" xr:uid="{00000000-0005-0000-0000-0000A8030000}"/>
    <cellStyle name="Normal 2 7 4 2 3" xfId="270" xr:uid="{00000000-0005-0000-0000-0000A9030000}"/>
    <cellStyle name="Normal 2 7 4 2 3 2" xfId="570" xr:uid="{00000000-0005-0000-0000-0000AA030000}"/>
    <cellStyle name="Normal 2 7 4 2 3 2 2" xfId="1243" xr:uid="{00000000-0005-0000-0000-0000AB030000}"/>
    <cellStyle name="Normal 2 7 4 2 3 2 2 2" xfId="4608" xr:uid="{00000000-0005-0000-0000-0000AC030000}"/>
    <cellStyle name="Normal 2 7 4 2 3 2 2 3" xfId="2928" xr:uid="{00000000-0005-0000-0000-0000AD030000}"/>
    <cellStyle name="Normal 2 7 4 2 3 2 3" xfId="1517" xr:uid="{00000000-0005-0000-0000-0000AE030000}"/>
    <cellStyle name="Normal 2 7 4 2 3 2 3 2" xfId="4882" xr:uid="{00000000-0005-0000-0000-0000AF030000}"/>
    <cellStyle name="Normal 2 7 4 2 3 2 4" xfId="3938" xr:uid="{00000000-0005-0000-0000-0000B0030000}"/>
    <cellStyle name="Normal 2 7 4 2 3 2 5" xfId="2260" xr:uid="{00000000-0005-0000-0000-0000B1030000}"/>
    <cellStyle name="Normal 2 7 4 2 3 3" xfId="943" xr:uid="{00000000-0005-0000-0000-0000B2030000}"/>
    <cellStyle name="Normal 2 7 4 2 3 3 2" xfId="4308" xr:uid="{00000000-0005-0000-0000-0000B3030000}"/>
    <cellStyle name="Normal 2 7 4 2 3 3 3" xfId="2927" xr:uid="{00000000-0005-0000-0000-0000B4030000}"/>
    <cellStyle name="Normal 2 7 4 2 3 4" xfId="1518" xr:uid="{00000000-0005-0000-0000-0000B5030000}"/>
    <cellStyle name="Normal 2 7 4 2 3 4 2" xfId="4883" xr:uid="{00000000-0005-0000-0000-0000B6030000}"/>
    <cellStyle name="Normal 2 7 4 2 3 5" xfId="3638" xr:uid="{00000000-0005-0000-0000-0000B7030000}"/>
    <cellStyle name="Normal 2 7 4 2 3 6" xfId="2259" xr:uid="{00000000-0005-0000-0000-0000B8030000}"/>
    <cellStyle name="Normal 2 7 4 2 4" xfId="420" xr:uid="{00000000-0005-0000-0000-0000B9030000}"/>
    <cellStyle name="Normal 2 7 4 2 4 2" xfId="1093" xr:uid="{00000000-0005-0000-0000-0000BA030000}"/>
    <cellStyle name="Normal 2 7 4 2 4 2 2" xfId="4458" xr:uid="{00000000-0005-0000-0000-0000BB030000}"/>
    <cellStyle name="Normal 2 7 4 2 4 2 3" xfId="2929" xr:uid="{00000000-0005-0000-0000-0000BC030000}"/>
    <cellStyle name="Normal 2 7 4 2 4 3" xfId="1519" xr:uid="{00000000-0005-0000-0000-0000BD030000}"/>
    <cellStyle name="Normal 2 7 4 2 4 3 2" xfId="4884" xr:uid="{00000000-0005-0000-0000-0000BE030000}"/>
    <cellStyle name="Normal 2 7 4 2 4 4" xfId="3788" xr:uid="{00000000-0005-0000-0000-0000BF030000}"/>
    <cellStyle name="Normal 2 7 4 2 4 5" xfId="2261" xr:uid="{00000000-0005-0000-0000-0000C0030000}"/>
    <cellStyle name="Normal 2 7 4 2 5" xfId="706" xr:uid="{00000000-0005-0000-0000-0000C1030000}"/>
    <cellStyle name="Normal 2 7 4 2 5 2" xfId="1379" xr:uid="{00000000-0005-0000-0000-0000C2030000}"/>
    <cellStyle name="Normal 2 7 4 2 5 2 2" xfId="4744" xr:uid="{00000000-0005-0000-0000-0000C3030000}"/>
    <cellStyle name="Normal 2 7 4 2 5 2 3" xfId="2930" xr:uid="{00000000-0005-0000-0000-0000C4030000}"/>
    <cellStyle name="Normal 2 7 4 2 5 3" xfId="1520" xr:uid="{00000000-0005-0000-0000-0000C5030000}"/>
    <cellStyle name="Normal 2 7 4 2 5 3 2" xfId="4885" xr:uid="{00000000-0005-0000-0000-0000C6030000}"/>
    <cellStyle name="Normal 2 7 4 2 5 4" xfId="4074" xr:uid="{00000000-0005-0000-0000-0000C7030000}"/>
    <cellStyle name="Normal 2 7 4 2 5 5" xfId="2262" xr:uid="{00000000-0005-0000-0000-0000C8030000}"/>
    <cellStyle name="Normal 2 7 4 2 6" xfId="793" xr:uid="{00000000-0005-0000-0000-0000C9030000}"/>
    <cellStyle name="Normal 2 7 4 2 6 2" xfId="4158" xr:uid="{00000000-0005-0000-0000-0000CA030000}"/>
    <cellStyle name="Normal 2 7 4 2 6 3" xfId="2806" xr:uid="{00000000-0005-0000-0000-0000CB030000}"/>
    <cellStyle name="Normal 2 7 4 2 7" xfId="1521" xr:uid="{00000000-0005-0000-0000-0000CC030000}"/>
    <cellStyle name="Normal 2 7 4 2 7 2" xfId="4886" xr:uid="{00000000-0005-0000-0000-0000CD030000}"/>
    <cellStyle name="Normal 2 7 4 2 8" xfId="3488" xr:uid="{00000000-0005-0000-0000-0000CE030000}"/>
    <cellStyle name="Normal 2 7 4 2 9" xfId="2135" xr:uid="{00000000-0005-0000-0000-0000CF030000}"/>
    <cellStyle name="Normal 2 7 4 3" xfId="169" xr:uid="{00000000-0005-0000-0000-0000D0030000}"/>
    <cellStyle name="Normal 2 7 4 3 2" xfId="319" xr:uid="{00000000-0005-0000-0000-0000D1030000}"/>
    <cellStyle name="Normal 2 7 4 3 2 2" xfId="619" xr:uid="{00000000-0005-0000-0000-0000D2030000}"/>
    <cellStyle name="Normal 2 7 4 3 2 2 2" xfId="1292" xr:uid="{00000000-0005-0000-0000-0000D3030000}"/>
    <cellStyle name="Normal 2 7 4 3 2 2 2 2" xfId="4657" xr:uid="{00000000-0005-0000-0000-0000D4030000}"/>
    <cellStyle name="Normal 2 7 4 3 2 2 2 3" xfId="2933" xr:uid="{00000000-0005-0000-0000-0000D5030000}"/>
    <cellStyle name="Normal 2 7 4 3 2 2 3" xfId="1522" xr:uid="{00000000-0005-0000-0000-0000D6030000}"/>
    <cellStyle name="Normal 2 7 4 3 2 2 3 2" xfId="4887" xr:uid="{00000000-0005-0000-0000-0000D7030000}"/>
    <cellStyle name="Normal 2 7 4 3 2 2 4" xfId="3987" xr:uid="{00000000-0005-0000-0000-0000D8030000}"/>
    <cellStyle name="Normal 2 7 4 3 2 2 5" xfId="2265" xr:uid="{00000000-0005-0000-0000-0000D9030000}"/>
    <cellStyle name="Normal 2 7 4 3 2 3" xfId="992" xr:uid="{00000000-0005-0000-0000-0000DA030000}"/>
    <cellStyle name="Normal 2 7 4 3 2 3 2" xfId="4357" xr:uid="{00000000-0005-0000-0000-0000DB030000}"/>
    <cellStyle name="Normal 2 7 4 3 2 3 3" xfId="2932" xr:uid="{00000000-0005-0000-0000-0000DC030000}"/>
    <cellStyle name="Normal 2 7 4 3 2 4" xfId="1523" xr:uid="{00000000-0005-0000-0000-0000DD030000}"/>
    <cellStyle name="Normal 2 7 4 3 2 4 2" xfId="4888" xr:uid="{00000000-0005-0000-0000-0000DE030000}"/>
    <cellStyle name="Normal 2 7 4 3 2 5" xfId="3687" xr:uid="{00000000-0005-0000-0000-0000DF030000}"/>
    <cellStyle name="Normal 2 7 4 3 2 6" xfId="2264" xr:uid="{00000000-0005-0000-0000-0000E0030000}"/>
    <cellStyle name="Normal 2 7 4 3 3" xfId="469" xr:uid="{00000000-0005-0000-0000-0000E1030000}"/>
    <cellStyle name="Normal 2 7 4 3 3 2" xfId="1142" xr:uid="{00000000-0005-0000-0000-0000E2030000}"/>
    <cellStyle name="Normal 2 7 4 3 3 2 2" xfId="4507" xr:uid="{00000000-0005-0000-0000-0000E3030000}"/>
    <cellStyle name="Normal 2 7 4 3 3 2 3" xfId="2934" xr:uid="{00000000-0005-0000-0000-0000E4030000}"/>
    <cellStyle name="Normal 2 7 4 3 3 3" xfId="1524" xr:uid="{00000000-0005-0000-0000-0000E5030000}"/>
    <cellStyle name="Normal 2 7 4 3 3 3 2" xfId="4889" xr:uid="{00000000-0005-0000-0000-0000E6030000}"/>
    <cellStyle name="Normal 2 7 4 3 3 4" xfId="3837" xr:uid="{00000000-0005-0000-0000-0000E7030000}"/>
    <cellStyle name="Normal 2 7 4 3 3 5" xfId="2266" xr:uid="{00000000-0005-0000-0000-0000E8030000}"/>
    <cellStyle name="Normal 2 7 4 3 4" xfId="842" xr:uid="{00000000-0005-0000-0000-0000E9030000}"/>
    <cellStyle name="Normal 2 7 4 3 4 2" xfId="4207" xr:uid="{00000000-0005-0000-0000-0000EA030000}"/>
    <cellStyle name="Normal 2 7 4 3 4 3" xfId="2931" xr:uid="{00000000-0005-0000-0000-0000EB030000}"/>
    <cellStyle name="Normal 2 7 4 3 5" xfId="1525" xr:uid="{00000000-0005-0000-0000-0000EC030000}"/>
    <cellStyle name="Normal 2 7 4 3 5 2" xfId="4890" xr:uid="{00000000-0005-0000-0000-0000ED030000}"/>
    <cellStyle name="Normal 2 7 4 3 6" xfId="3537" xr:uid="{00000000-0005-0000-0000-0000EE030000}"/>
    <cellStyle name="Normal 2 7 4 3 7" xfId="2263" xr:uid="{00000000-0005-0000-0000-0000EF030000}"/>
    <cellStyle name="Normal 2 7 4 4" xfId="244" xr:uid="{00000000-0005-0000-0000-0000F0030000}"/>
    <cellStyle name="Normal 2 7 4 4 2" xfId="544" xr:uid="{00000000-0005-0000-0000-0000F1030000}"/>
    <cellStyle name="Normal 2 7 4 4 2 2" xfId="1217" xr:uid="{00000000-0005-0000-0000-0000F2030000}"/>
    <cellStyle name="Normal 2 7 4 4 2 2 2" xfId="4582" xr:uid="{00000000-0005-0000-0000-0000F3030000}"/>
    <cellStyle name="Normal 2 7 4 4 2 2 3" xfId="2936" xr:uid="{00000000-0005-0000-0000-0000F4030000}"/>
    <cellStyle name="Normal 2 7 4 4 2 3" xfId="1526" xr:uid="{00000000-0005-0000-0000-0000F5030000}"/>
    <cellStyle name="Normal 2 7 4 4 2 3 2" xfId="4891" xr:uid="{00000000-0005-0000-0000-0000F6030000}"/>
    <cellStyle name="Normal 2 7 4 4 2 4" xfId="3912" xr:uid="{00000000-0005-0000-0000-0000F7030000}"/>
    <cellStyle name="Normal 2 7 4 4 2 5" xfId="2268" xr:uid="{00000000-0005-0000-0000-0000F8030000}"/>
    <cellStyle name="Normal 2 7 4 4 3" xfId="917" xr:uid="{00000000-0005-0000-0000-0000F9030000}"/>
    <cellStyle name="Normal 2 7 4 4 3 2" xfId="4282" xr:uid="{00000000-0005-0000-0000-0000FA030000}"/>
    <cellStyle name="Normal 2 7 4 4 3 3" xfId="2935" xr:uid="{00000000-0005-0000-0000-0000FB030000}"/>
    <cellStyle name="Normal 2 7 4 4 4" xfId="1527" xr:uid="{00000000-0005-0000-0000-0000FC030000}"/>
    <cellStyle name="Normal 2 7 4 4 4 2" xfId="4892" xr:uid="{00000000-0005-0000-0000-0000FD030000}"/>
    <cellStyle name="Normal 2 7 4 4 5" xfId="3612" xr:uid="{00000000-0005-0000-0000-0000FE030000}"/>
    <cellStyle name="Normal 2 7 4 4 6" xfId="2267" xr:uid="{00000000-0005-0000-0000-0000FF030000}"/>
    <cellStyle name="Normal 2 7 4 5" xfId="394" xr:uid="{00000000-0005-0000-0000-000000040000}"/>
    <cellStyle name="Normal 2 7 4 5 2" xfId="1067" xr:uid="{00000000-0005-0000-0000-000001040000}"/>
    <cellStyle name="Normal 2 7 4 5 2 2" xfId="4432" xr:uid="{00000000-0005-0000-0000-000002040000}"/>
    <cellStyle name="Normal 2 7 4 5 2 3" xfId="2937" xr:uid="{00000000-0005-0000-0000-000003040000}"/>
    <cellStyle name="Normal 2 7 4 5 3" xfId="1528" xr:uid="{00000000-0005-0000-0000-000004040000}"/>
    <cellStyle name="Normal 2 7 4 5 3 2" xfId="4893" xr:uid="{00000000-0005-0000-0000-000005040000}"/>
    <cellStyle name="Normal 2 7 4 5 4" xfId="3762" xr:uid="{00000000-0005-0000-0000-000006040000}"/>
    <cellStyle name="Normal 2 7 4 5 5" xfId="2269" xr:uid="{00000000-0005-0000-0000-000007040000}"/>
    <cellStyle name="Normal 2 7 4 6" xfId="680" xr:uid="{00000000-0005-0000-0000-000008040000}"/>
    <cellStyle name="Normal 2 7 4 6 2" xfId="1353" xr:uid="{00000000-0005-0000-0000-000009040000}"/>
    <cellStyle name="Normal 2 7 4 6 2 2" xfId="4718" xr:uid="{00000000-0005-0000-0000-00000A040000}"/>
    <cellStyle name="Normal 2 7 4 6 2 3" xfId="2938" xr:uid="{00000000-0005-0000-0000-00000B040000}"/>
    <cellStyle name="Normal 2 7 4 6 3" xfId="1529" xr:uid="{00000000-0005-0000-0000-00000C040000}"/>
    <cellStyle name="Normal 2 7 4 6 3 2" xfId="4894" xr:uid="{00000000-0005-0000-0000-00000D040000}"/>
    <cellStyle name="Normal 2 7 4 6 4" xfId="4048" xr:uid="{00000000-0005-0000-0000-00000E040000}"/>
    <cellStyle name="Normal 2 7 4 6 5" xfId="2270" xr:uid="{00000000-0005-0000-0000-00000F040000}"/>
    <cellStyle name="Normal 2 7 4 7" xfId="767" xr:uid="{00000000-0005-0000-0000-000010040000}"/>
    <cellStyle name="Normal 2 7 4 7 2" xfId="4132" xr:uid="{00000000-0005-0000-0000-000011040000}"/>
    <cellStyle name="Normal 2 7 4 7 3" xfId="2780" xr:uid="{00000000-0005-0000-0000-000012040000}"/>
    <cellStyle name="Normal 2 7 4 8" xfId="1530" xr:uid="{00000000-0005-0000-0000-000013040000}"/>
    <cellStyle name="Normal 2 7 4 8 2" xfId="4895" xr:uid="{00000000-0005-0000-0000-000014040000}"/>
    <cellStyle name="Normal 2 7 4 9" xfId="3462" xr:uid="{00000000-0005-0000-0000-000015040000}"/>
    <cellStyle name="Normal 2 7 5" xfId="100" xr:uid="{00000000-0005-0000-0000-000016040000}"/>
    <cellStyle name="Normal 2 7 5 2" xfId="175" xr:uid="{00000000-0005-0000-0000-000017040000}"/>
    <cellStyle name="Normal 2 7 5 2 2" xfId="325" xr:uid="{00000000-0005-0000-0000-000018040000}"/>
    <cellStyle name="Normal 2 7 5 2 2 2" xfId="625" xr:uid="{00000000-0005-0000-0000-000019040000}"/>
    <cellStyle name="Normal 2 7 5 2 2 2 2" xfId="1298" xr:uid="{00000000-0005-0000-0000-00001A040000}"/>
    <cellStyle name="Normal 2 7 5 2 2 2 2 2" xfId="4663" xr:uid="{00000000-0005-0000-0000-00001B040000}"/>
    <cellStyle name="Normal 2 7 5 2 2 2 2 3" xfId="2941" xr:uid="{00000000-0005-0000-0000-00001C040000}"/>
    <cellStyle name="Normal 2 7 5 2 2 2 3" xfId="1531" xr:uid="{00000000-0005-0000-0000-00001D040000}"/>
    <cellStyle name="Normal 2 7 5 2 2 2 3 2" xfId="4896" xr:uid="{00000000-0005-0000-0000-00001E040000}"/>
    <cellStyle name="Normal 2 7 5 2 2 2 4" xfId="3993" xr:uid="{00000000-0005-0000-0000-00001F040000}"/>
    <cellStyle name="Normal 2 7 5 2 2 2 5" xfId="2273" xr:uid="{00000000-0005-0000-0000-000020040000}"/>
    <cellStyle name="Normal 2 7 5 2 2 3" xfId="998" xr:uid="{00000000-0005-0000-0000-000021040000}"/>
    <cellStyle name="Normal 2 7 5 2 2 3 2" xfId="4363" xr:uid="{00000000-0005-0000-0000-000022040000}"/>
    <cellStyle name="Normal 2 7 5 2 2 3 3" xfId="2940" xr:uid="{00000000-0005-0000-0000-000023040000}"/>
    <cellStyle name="Normal 2 7 5 2 2 4" xfId="1532" xr:uid="{00000000-0005-0000-0000-000024040000}"/>
    <cellStyle name="Normal 2 7 5 2 2 4 2" xfId="4897" xr:uid="{00000000-0005-0000-0000-000025040000}"/>
    <cellStyle name="Normal 2 7 5 2 2 5" xfId="3693" xr:uid="{00000000-0005-0000-0000-000026040000}"/>
    <cellStyle name="Normal 2 7 5 2 2 6" xfId="2272" xr:uid="{00000000-0005-0000-0000-000027040000}"/>
    <cellStyle name="Normal 2 7 5 2 3" xfId="475" xr:uid="{00000000-0005-0000-0000-000028040000}"/>
    <cellStyle name="Normal 2 7 5 2 3 2" xfId="1148" xr:uid="{00000000-0005-0000-0000-000029040000}"/>
    <cellStyle name="Normal 2 7 5 2 3 2 2" xfId="4513" xr:uid="{00000000-0005-0000-0000-00002A040000}"/>
    <cellStyle name="Normal 2 7 5 2 3 2 3" xfId="2942" xr:uid="{00000000-0005-0000-0000-00002B040000}"/>
    <cellStyle name="Normal 2 7 5 2 3 3" xfId="1533" xr:uid="{00000000-0005-0000-0000-00002C040000}"/>
    <cellStyle name="Normal 2 7 5 2 3 3 2" xfId="4898" xr:uid="{00000000-0005-0000-0000-00002D040000}"/>
    <cellStyle name="Normal 2 7 5 2 3 4" xfId="3843" xr:uid="{00000000-0005-0000-0000-00002E040000}"/>
    <cellStyle name="Normal 2 7 5 2 3 5" xfId="2274" xr:uid="{00000000-0005-0000-0000-00002F040000}"/>
    <cellStyle name="Normal 2 7 5 2 4" xfId="848" xr:uid="{00000000-0005-0000-0000-000030040000}"/>
    <cellStyle name="Normal 2 7 5 2 4 2" xfId="4213" xr:uid="{00000000-0005-0000-0000-000031040000}"/>
    <cellStyle name="Normal 2 7 5 2 4 3" xfId="2939" xr:uid="{00000000-0005-0000-0000-000032040000}"/>
    <cellStyle name="Normal 2 7 5 2 5" xfId="1534" xr:uid="{00000000-0005-0000-0000-000033040000}"/>
    <cellStyle name="Normal 2 7 5 2 5 2" xfId="4899" xr:uid="{00000000-0005-0000-0000-000034040000}"/>
    <cellStyle name="Normal 2 7 5 2 6" xfId="3543" xr:uid="{00000000-0005-0000-0000-000035040000}"/>
    <cellStyle name="Normal 2 7 5 2 7" xfId="2271" xr:uid="{00000000-0005-0000-0000-000036040000}"/>
    <cellStyle name="Normal 2 7 5 3" xfId="250" xr:uid="{00000000-0005-0000-0000-000037040000}"/>
    <cellStyle name="Normal 2 7 5 3 2" xfId="550" xr:uid="{00000000-0005-0000-0000-000038040000}"/>
    <cellStyle name="Normal 2 7 5 3 2 2" xfId="1223" xr:uid="{00000000-0005-0000-0000-000039040000}"/>
    <cellStyle name="Normal 2 7 5 3 2 2 2" xfId="4588" xr:uid="{00000000-0005-0000-0000-00003A040000}"/>
    <cellStyle name="Normal 2 7 5 3 2 2 3" xfId="2944" xr:uid="{00000000-0005-0000-0000-00003B040000}"/>
    <cellStyle name="Normal 2 7 5 3 2 3" xfId="1535" xr:uid="{00000000-0005-0000-0000-00003C040000}"/>
    <cellStyle name="Normal 2 7 5 3 2 3 2" xfId="4900" xr:uid="{00000000-0005-0000-0000-00003D040000}"/>
    <cellStyle name="Normal 2 7 5 3 2 4" xfId="3918" xr:uid="{00000000-0005-0000-0000-00003E040000}"/>
    <cellStyle name="Normal 2 7 5 3 2 5" xfId="2276" xr:uid="{00000000-0005-0000-0000-00003F040000}"/>
    <cellStyle name="Normal 2 7 5 3 3" xfId="923" xr:uid="{00000000-0005-0000-0000-000040040000}"/>
    <cellStyle name="Normal 2 7 5 3 3 2" xfId="4288" xr:uid="{00000000-0005-0000-0000-000041040000}"/>
    <cellStyle name="Normal 2 7 5 3 3 3" xfId="2943" xr:uid="{00000000-0005-0000-0000-000042040000}"/>
    <cellStyle name="Normal 2 7 5 3 4" xfId="1536" xr:uid="{00000000-0005-0000-0000-000043040000}"/>
    <cellStyle name="Normal 2 7 5 3 4 2" xfId="4901" xr:uid="{00000000-0005-0000-0000-000044040000}"/>
    <cellStyle name="Normal 2 7 5 3 5" xfId="3618" xr:uid="{00000000-0005-0000-0000-000045040000}"/>
    <cellStyle name="Normal 2 7 5 3 6" xfId="2275" xr:uid="{00000000-0005-0000-0000-000046040000}"/>
    <cellStyle name="Normal 2 7 5 4" xfId="400" xr:uid="{00000000-0005-0000-0000-000047040000}"/>
    <cellStyle name="Normal 2 7 5 4 2" xfId="1073" xr:uid="{00000000-0005-0000-0000-000048040000}"/>
    <cellStyle name="Normal 2 7 5 4 2 2" xfId="4438" xr:uid="{00000000-0005-0000-0000-000049040000}"/>
    <cellStyle name="Normal 2 7 5 4 2 3" xfId="2945" xr:uid="{00000000-0005-0000-0000-00004A040000}"/>
    <cellStyle name="Normal 2 7 5 4 3" xfId="1537" xr:uid="{00000000-0005-0000-0000-00004B040000}"/>
    <cellStyle name="Normal 2 7 5 4 3 2" xfId="4902" xr:uid="{00000000-0005-0000-0000-00004C040000}"/>
    <cellStyle name="Normal 2 7 5 4 4" xfId="3768" xr:uid="{00000000-0005-0000-0000-00004D040000}"/>
    <cellStyle name="Normal 2 7 5 4 5" xfId="2277" xr:uid="{00000000-0005-0000-0000-00004E040000}"/>
    <cellStyle name="Normal 2 7 5 5" xfId="686" xr:uid="{00000000-0005-0000-0000-00004F040000}"/>
    <cellStyle name="Normal 2 7 5 5 2" xfId="1359" xr:uid="{00000000-0005-0000-0000-000050040000}"/>
    <cellStyle name="Normal 2 7 5 5 2 2" xfId="4724" xr:uid="{00000000-0005-0000-0000-000051040000}"/>
    <cellStyle name="Normal 2 7 5 5 2 3" xfId="2946" xr:uid="{00000000-0005-0000-0000-000052040000}"/>
    <cellStyle name="Normal 2 7 5 5 3" xfId="1538" xr:uid="{00000000-0005-0000-0000-000053040000}"/>
    <cellStyle name="Normal 2 7 5 5 3 2" xfId="4903" xr:uid="{00000000-0005-0000-0000-000054040000}"/>
    <cellStyle name="Normal 2 7 5 5 4" xfId="4054" xr:uid="{00000000-0005-0000-0000-000055040000}"/>
    <cellStyle name="Normal 2 7 5 5 5" xfId="2278" xr:uid="{00000000-0005-0000-0000-000056040000}"/>
    <cellStyle name="Normal 2 7 5 6" xfId="773" xr:uid="{00000000-0005-0000-0000-000057040000}"/>
    <cellStyle name="Normal 2 7 5 6 2" xfId="4138" xr:uid="{00000000-0005-0000-0000-000058040000}"/>
    <cellStyle name="Normal 2 7 5 6 3" xfId="2786" xr:uid="{00000000-0005-0000-0000-000059040000}"/>
    <cellStyle name="Normal 2 7 5 7" xfId="1539" xr:uid="{00000000-0005-0000-0000-00005A040000}"/>
    <cellStyle name="Normal 2 7 5 7 2" xfId="4904" xr:uid="{00000000-0005-0000-0000-00005B040000}"/>
    <cellStyle name="Normal 2 7 5 8" xfId="3468" xr:uid="{00000000-0005-0000-0000-00005C040000}"/>
    <cellStyle name="Normal 2 7 5 9" xfId="2115" xr:uid="{00000000-0005-0000-0000-00005D040000}"/>
    <cellStyle name="Normal 2 7 6" xfId="72" xr:uid="{00000000-0005-0000-0000-00005E040000}"/>
    <cellStyle name="Normal 2 7 6 2" xfId="149" xr:uid="{00000000-0005-0000-0000-00005F040000}"/>
    <cellStyle name="Normal 2 7 6 2 2" xfId="299" xr:uid="{00000000-0005-0000-0000-000060040000}"/>
    <cellStyle name="Normal 2 7 6 2 2 2" xfId="599" xr:uid="{00000000-0005-0000-0000-000061040000}"/>
    <cellStyle name="Normal 2 7 6 2 2 2 2" xfId="1272" xr:uid="{00000000-0005-0000-0000-000062040000}"/>
    <cellStyle name="Normal 2 7 6 2 2 2 2 2" xfId="4637" xr:uid="{00000000-0005-0000-0000-000063040000}"/>
    <cellStyle name="Normal 2 7 6 2 2 2 2 3" xfId="2949" xr:uid="{00000000-0005-0000-0000-000064040000}"/>
    <cellStyle name="Normal 2 7 6 2 2 2 3" xfId="1540" xr:uid="{00000000-0005-0000-0000-000065040000}"/>
    <cellStyle name="Normal 2 7 6 2 2 2 3 2" xfId="4905" xr:uid="{00000000-0005-0000-0000-000066040000}"/>
    <cellStyle name="Normal 2 7 6 2 2 2 4" xfId="3967" xr:uid="{00000000-0005-0000-0000-000067040000}"/>
    <cellStyle name="Normal 2 7 6 2 2 2 5" xfId="2281" xr:uid="{00000000-0005-0000-0000-000068040000}"/>
    <cellStyle name="Normal 2 7 6 2 2 3" xfId="972" xr:uid="{00000000-0005-0000-0000-000069040000}"/>
    <cellStyle name="Normal 2 7 6 2 2 3 2" xfId="4337" xr:uid="{00000000-0005-0000-0000-00006A040000}"/>
    <cellStyle name="Normal 2 7 6 2 2 3 3" xfId="2948" xr:uid="{00000000-0005-0000-0000-00006B040000}"/>
    <cellStyle name="Normal 2 7 6 2 2 4" xfId="1541" xr:uid="{00000000-0005-0000-0000-00006C040000}"/>
    <cellStyle name="Normal 2 7 6 2 2 4 2" xfId="4906" xr:uid="{00000000-0005-0000-0000-00006D040000}"/>
    <cellStyle name="Normal 2 7 6 2 2 5" xfId="3667" xr:uid="{00000000-0005-0000-0000-00006E040000}"/>
    <cellStyle name="Normal 2 7 6 2 2 6" xfId="2280" xr:uid="{00000000-0005-0000-0000-00006F040000}"/>
    <cellStyle name="Normal 2 7 6 2 3" xfId="449" xr:uid="{00000000-0005-0000-0000-000070040000}"/>
    <cellStyle name="Normal 2 7 6 2 3 2" xfId="1122" xr:uid="{00000000-0005-0000-0000-000071040000}"/>
    <cellStyle name="Normal 2 7 6 2 3 2 2" xfId="4487" xr:uid="{00000000-0005-0000-0000-000072040000}"/>
    <cellStyle name="Normal 2 7 6 2 3 2 3" xfId="2950" xr:uid="{00000000-0005-0000-0000-000073040000}"/>
    <cellStyle name="Normal 2 7 6 2 3 3" xfId="1542" xr:uid="{00000000-0005-0000-0000-000074040000}"/>
    <cellStyle name="Normal 2 7 6 2 3 3 2" xfId="4907" xr:uid="{00000000-0005-0000-0000-000075040000}"/>
    <cellStyle name="Normal 2 7 6 2 3 4" xfId="3817" xr:uid="{00000000-0005-0000-0000-000076040000}"/>
    <cellStyle name="Normal 2 7 6 2 3 5" xfId="2282" xr:uid="{00000000-0005-0000-0000-000077040000}"/>
    <cellStyle name="Normal 2 7 6 2 4" xfId="822" xr:uid="{00000000-0005-0000-0000-000078040000}"/>
    <cellStyle name="Normal 2 7 6 2 4 2" xfId="4187" xr:uid="{00000000-0005-0000-0000-000079040000}"/>
    <cellStyle name="Normal 2 7 6 2 4 3" xfId="2947" xr:uid="{00000000-0005-0000-0000-00007A040000}"/>
    <cellStyle name="Normal 2 7 6 2 5" xfId="1543" xr:uid="{00000000-0005-0000-0000-00007B040000}"/>
    <cellStyle name="Normal 2 7 6 2 5 2" xfId="4908" xr:uid="{00000000-0005-0000-0000-00007C040000}"/>
    <cellStyle name="Normal 2 7 6 2 6" xfId="3517" xr:uid="{00000000-0005-0000-0000-00007D040000}"/>
    <cellStyle name="Normal 2 7 6 2 7" xfId="2279" xr:uid="{00000000-0005-0000-0000-00007E040000}"/>
    <cellStyle name="Normal 2 7 6 3" xfId="224" xr:uid="{00000000-0005-0000-0000-00007F040000}"/>
    <cellStyle name="Normal 2 7 6 3 2" xfId="524" xr:uid="{00000000-0005-0000-0000-000080040000}"/>
    <cellStyle name="Normal 2 7 6 3 2 2" xfId="1197" xr:uid="{00000000-0005-0000-0000-000081040000}"/>
    <cellStyle name="Normal 2 7 6 3 2 2 2" xfId="4562" xr:uid="{00000000-0005-0000-0000-000082040000}"/>
    <cellStyle name="Normal 2 7 6 3 2 2 3" xfId="2952" xr:uid="{00000000-0005-0000-0000-000083040000}"/>
    <cellStyle name="Normal 2 7 6 3 2 3" xfId="1544" xr:uid="{00000000-0005-0000-0000-000084040000}"/>
    <cellStyle name="Normal 2 7 6 3 2 3 2" xfId="4909" xr:uid="{00000000-0005-0000-0000-000085040000}"/>
    <cellStyle name="Normal 2 7 6 3 2 4" xfId="3892" xr:uid="{00000000-0005-0000-0000-000086040000}"/>
    <cellStyle name="Normal 2 7 6 3 2 5" xfId="2284" xr:uid="{00000000-0005-0000-0000-000087040000}"/>
    <cellStyle name="Normal 2 7 6 3 3" xfId="897" xr:uid="{00000000-0005-0000-0000-000088040000}"/>
    <cellStyle name="Normal 2 7 6 3 3 2" xfId="4262" xr:uid="{00000000-0005-0000-0000-000089040000}"/>
    <cellStyle name="Normal 2 7 6 3 3 3" xfId="2951" xr:uid="{00000000-0005-0000-0000-00008A040000}"/>
    <cellStyle name="Normal 2 7 6 3 4" xfId="1545" xr:uid="{00000000-0005-0000-0000-00008B040000}"/>
    <cellStyle name="Normal 2 7 6 3 4 2" xfId="4910" xr:uid="{00000000-0005-0000-0000-00008C040000}"/>
    <cellStyle name="Normal 2 7 6 3 5" xfId="3592" xr:uid="{00000000-0005-0000-0000-00008D040000}"/>
    <cellStyle name="Normal 2 7 6 3 6" xfId="2283" xr:uid="{00000000-0005-0000-0000-00008E040000}"/>
    <cellStyle name="Normal 2 7 6 4" xfId="374" xr:uid="{00000000-0005-0000-0000-00008F040000}"/>
    <cellStyle name="Normal 2 7 6 4 2" xfId="1047" xr:uid="{00000000-0005-0000-0000-000090040000}"/>
    <cellStyle name="Normal 2 7 6 4 2 2" xfId="4412" xr:uid="{00000000-0005-0000-0000-000091040000}"/>
    <cellStyle name="Normal 2 7 6 4 2 3" xfId="2953" xr:uid="{00000000-0005-0000-0000-000092040000}"/>
    <cellStyle name="Normal 2 7 6 4 3" xfId="1546" xr:uid="{00000000-0005-0000-0000-000093040000}"/>
    <cellStyle name="Normal 2 7 6 4 3 2" xfId="4911" xr:uid="{00000000-0005-0000-0000-000094040000}"/>
    <cellStyle name="Normal 2 7 6 4 4" xfId="3742" xr:uid="{00000000-0005-0000-0000-000095040000}"/>
    <cellStyle name="Normal 2 7 6 4 5" xfId="2285" xr:uid="{00000000-0005-0000-0000-000096040000}"/>
    <cellStyle name="Normal 2 7 6 5" xfId="747" xr:uid="{00000000-0005-0000-0000-000097040000}"/>
    <cellStyle name="Normal 2 7 6 5 2" xfId="4112" xr:uid="{00000000-0005-0000-0000-000098040000}"/>
    <cellStyle name="Normal 2 7 6 5 3" xfId="2822" xr:uid="{00000000-0005-0000-0000-000099040000}"/>
    <cellStyle name="Normal 2 7 6 6" xfId="1547" xr:uid="{00000000-0005-0000-0000-00009A040000}"/>
    <cellStyle name="Normal 2 7 6 6 2" xfId="4912" xr:uid="{00000000-0005-0000-0000-00009B040000}"/>
    <cellStyle name="Normal 2 7 6 7" xfId="3442" xr:uid="{00000000-0005-0000-0000-00009C040000}"/>
    <cellStyle name="Normal 2 7 6 8" xfId="2154" xr:uid="{00000000-0005-0000-0000-00009D040000}"/>
    <cellStyle name="Normal 2 7 7" xfId="63" xr:uid="{00000000-0005-0000-0000-00009E040000}"/>
    <cellStyle name="Normal 2 7 7 2" xfId="140" xr:uid="{00000000-0005-0000-0000-00009F040000}"/>
    <cellStyle name="Normal 2 7 7 2 2" xfId="290" xr:uid="{00000000-0005-0000-0000-0000A0040000}"/>
    <cellStyle name="Normal 2 7 7 2 2 2" xfId="590" xr:uid="{00000000-0005-0000-0000-0000A1040000}"/>
    <cellStyle name="Normal 2 7 7 2 2 2 2" xfId="1263" xr:uid="{00000000-0005-0000-0000-0000A2040000}"/>
    <cellStyle name="Normal 2 7 7 2 2 2 2 2" xfId="4628" xr:uid="{00000000-0005-0000-0000-0000A3040000}"/>
    <cellStyle name="Normal 2 7 7 2 2 2 2 3" xfId="2956" xr:uid="{00000000-0005-0000-0000-0000A4040000}"/>
    <cellStyle name="Normal 2 7 7 2 2 2 3" xfId="1548" xr:uid="{00000000-0005-0000-0000-0000A5040000}"/>
    <cellStyle name="Normal 2 7 7 2 2 2 3 2" xfId="4913" xr:uid="{00000000-0005-0000-0000-0000A6040000}"/>
    <cellStyle name="Normal 2 7 7 2 2 2 4" xfId="3958" xr:uid="{00000000-0005-0000-0000-0000A7040000}"/>
    <cellStyle name="Normal 2 7 7 2 2 2 5" xfId="2288" xr:uid="{00000000-0005-0000-0000-0000A8040000}"/>
    <cellStyle name="Normal 2 7 7 2 2 3" xfId="963" xr:uid="{00000000-0005-0000-0000-0000A9040000}"/>
    <cellStyle name="Normal 2 7 7 2 2 3 2" xfId="4328" xr:uid="{00000000-0005-0000-0000-0000AA040000}"/>
    <cellStyle name="Normal 2 7 7 2 2 3 3" xfId="2955" xr:uid="{00000000-0005-0000-0000-0000AB040000}"/>
    <cellStyle name="Normal 2 7 7 2 2 4" xfId="1549" xr:uid="{00000000-0005-0000-0000-0000AC040000}"/>
    <cellStyle name="Normal 2 7 7 2 2 4 2" xfId="4914" xr:uid="{00000000-0005-0000-0000-0000AD040000}"/>
    <cellStyle name="Normal 2 7 7 2 2 5" xfId="3658" xr:uid="{00000000-0005-0000-0000-0000AE040000}"/>
    <cellStyle name="Normal 2 7 7 2 2 6" xfId="2287" xr:uid="{00000000-0005-0000-0000-0000AF040000}"/>
    <cellStyle name="Normal 2 7 7 2 3" xfId="440" xr:uid="{00000000-0005-0000-0000-0000B0040000}"/>
    <cellStyle name="Normal 2 7 7 2 3 2" xfId="1113" xr:uid="{00000000-0005-0000-0000-0000B1040000}"/>
    <cellStyle name="Normal 2 7 7 2 3 2 2" xfId="4478" xr:uid="{00000000-0005-0000-0000-0000B2040000}"/>
    <cellStyle name="Normal 2 7 7 2 3 2 3" xfId="2957" xr:uid="{00000000-0005-0000-0000-0000B3040000}"/>
    <cellStyle name="Normal 2 7 7 2 3 3" xfId="1550" xr:uid="{00000000-0005-0000-0000-0000B4040000}"/>
    <cellStyle name="Normal 2 7 7 2 3 3 2" xfId="4915" xr:uid="{00000000-0005-0000-0000-0000B5040000}"/>
    <cellStyle name="Normal 2 7 7 2 3 4" xfId="3808" xr:uid="{00000000-0005-0000-0000-0000B6040000}"/>
    <cellStyle name="Normal 2 7 7 2 3 5" xfId="2289" xr:uid="{00000000-0005-0000-0000-0000B7040000}"/>
    <cellStyle name="Normal 2 7 7 2 4" xfId="813" xr:uid="{00000000-0005-0000-0000-0000B8040000}"/>
    <cellStyle name="Normal 2 7 7 2 4 2" xfId="4178" xr:uid="{00000000-0005-0000-0000-0000B9040000}"/>
    <cellStyle name="Normal 2 7 7 2 4 3" xfId="2954" xr:uid="{00000000-0005-0000-0000-0000BA040000}"/>
    <cellStyle name="Normal 2 7 7 2 5" xfId="1551" xr:uid="{00000000-0005-0000-0000-0000BB040000}"/>
    <cellStyle name="Normal 2 7 7 2 5 2" xfId="4916" xr:uid="{00000000-0005-0000-0000-0000BC040000}"/>
    <cellStyle name="Normal 2 7 7 2 6" xfId="3508" xr:uid="{00000000-0005-0000-0000-0000BD040000}"/>
    <cellStyle name="Normal 2 7 7 2 7" xfId="2286" xr:uid="{00000000-0005-0000-0000-0000BE040000}"/>
    <cellStyle name="Normal 2 7 7 3" xfId="215" xr:uid="{00000000-0005-0000-0000-0000BF040000}"/>
    <cellStyle name="Normal 2 7 7 3 2" xfId="515" xr:uid="{00000000-0005-0000-0000-0000C0040000}"/>
    <cellStyle name="Normal 2 7 7 3 2 2" xfId="1188" xr:uid="{00000000-0005-0000-0000-0000C1040000}"/>
    <cellStyle name="Normal 2 7 7 3 2 2 2" xfId="4553" xr:uid="{00000000-0005-0000-0000-0000C2040000}"/>
    <cellStyle name="Normal 2 7 7 3 2 2 3" xfId="2959" xr:uid="{00000000-0005-0000-0000-0000C3040000}"/>
    <cellStyle name="Normal 2 7 7 3 2 3" xfId="1552" xr:uid="{00000000-0005-0000-0000-0000C4040000}"/>
    <cellStyle name="Normal 2 7 7 3 2 3 2" xfId="4917" xr:uid="{00000000-0005-0000-0000-0000C5040000}"/>
    <cellStyle name="Normal 2 7 7 3 2 4" xfId="3883" xr:uid="{00000000-0005-0000-0000-0000C6040000}"/>
    <cellStyle name="Normal 2 7 7 3 2 5" xfId="2291" xr:uid="{00000000-0005-0000-0000-0000C7040000}"/>
    <cellStyle name="Normal 2 7 7 3 3" xfId="888" xr:uid="{00000000-0005-0000-0000-0000C8040000}"/>
    <cellStyle name="Normal 2 7 7 3 3 2" xfId="4253" xr:uid="{00000000-0005-0000-0000-0000C9040000}"/>
    <cellStyle name="Normal 2 7 7 3 3 3" xfId="2958" xr:uid="{00000000-0005-0000-0000-0000CA040000}"/>
    <cellStyle name="Normal 2 7 7 3 4" xfId="1553" xr:uid="{00000000-0005-0000-0000-0000CB040000}"/>
    <cellStyle name="Normal 2 7 7 3 4 2" xfId="4918" xr:uid="{00000000-0005-0000-0000-0000CC040000}"/>
    <cellStyle name="Normal 2 7 7 3 5" xfId="3583" xr:uid="{00000000-0005-0000-0000-0000CD040000}"/>
    <cellStyle name="Normal 2 7 7 3 6" xfId="2290" xr:uid="{00000000-0005-0000-0000-0000CE040000}"/>
    <cellStyle name="Normal 2 7 7 4" xfId="365" xr:uid="{00000000-0005-0000-0000-0000CF040000}"/>
    <cellStyle name="Normal 2 7 7 4 2" xfId="1038" xr:uid="{00000000-0005-0000-0000-0000D0040000}"/>
    <cellStyle name="Normal 2 7 7 4 2 2" xfId="4403" xr:uid="{00000000-0005-0000-0000-0000D1040000}"/>
    <cellStyle name="Normal 2 7 7 4 2 3" xfId="2960" xr:uid="{00000000-0005-0000-0000-0000D2040000}"/>
    <cellStyle name="Normal 2 7 7 4 3" xfId="1554" xr:uid="{00000000-0005-0000-0000-0000D3040000}"/>
    <cellStyle name="Normal 2 7 7 4 3 2" xfId="4919" xr:uid="{00000000-0005-0000-0000-0000D4040000}"/>
    <cellStyle name="Normal 2 7 7 4 4" xfId="3733" xr:uid="{00000000-0005-0000-0000-0000D5040000}"/>
    <cellStyle name="Normal 2 7 7 4 5" xfId="2292" xr:uid="{00000000-0005-0000-0000-0000D6040000}"/>
    <cellStyle name="Normal 2 7 7 5" xfId="738" xr:uid="{00000000-0005-0000-0000-0000D7040000}"/>
    <cellStyle name="Normal 2 7 7 5 2" xfId="4103" xr:uid="{00000000-0005-0000-0000-0000D8040000}"/>
    <cellStyle name="Normal 2 7 7 5 3" xfId="2823" xr:uid="{00000000-0005-0000-0000-0000D9040000}"/>
    <cellStyle name="Normal 2 7 7 6" xfId="1555" xr:uid="{00000000-0005-0000-0000-0000DA040000}"/>
    <cellStyle name="Normal 2 7 7 6 2" xfId="4920" xr:uid="{00000000-0005-0000-0000-0000DB040000}"/>
    <cellStyle name="Normal 2 7 7 7" xfId="3433" xr:uid="{00000000-0005-0000-0000-0000DC040000}"/>
    <cellStyle name="Normal 2 7 7 8" xfId="2155" xr:uid="{00000000-0005-0000-0000-0000DD040000}"/>
    <cellStyle name="Normal 2 7 8" xfId="133" xr:uid="{00000000-0005-0000-0000-0000DE040000}"/>
    <cellStyle name="Normal 2 7 8 2" xfId="283" xr:uid="{00000000-0005-0000-0000-0000DF040000}"/>
    <cellStyle name="Normal 2 7 8 2 2" xfId="583" xr:uid="{00000000-0005-0000-0000-0000E0040000}"/>
    <cellStyle name="Normal 2 7 8 2 2 2" xfId="1256" xr:uid="{00000000-0005-0000-0000-0000E1040000}"/>
    <cellStyle name="Normal 2 7 8 2 2 2 2" xfId="4621" xr:uid="{00000000-0005-0000-0000-0000E2040000}"/>
    <cellStyle name="Normal 2 7 8 2 2 2 3" xfId="2963" xr:uid="{00000000-0005-0000-0000-0000E3040000}"/>
    <cellStyle name="Normal 2 7 8 2 2 3" xfId="1556" xr:uid="{00000000-0005-0000-0000-0000E4040000}"/>
    <cellStyle name="Normal 2 7 8 2 2 3 2" xfId="4921" xr:uid="{00000000-0005-0000-0000-0000E5040000}"/>
    <cellStyle name="Normal 2 7 8 2 2 4" xfId="3951" xr:uid="{00000000-0005-0000-0000-0000E6040000}"/>
    <cellStyle name="Normal 2 7 8 2 2 5" xfId="2295" xr:uid="{00000000-0005-0000-0000-0000E7040000}"/>
    <cellStyle name="Normal 2 7 8 2 3" xfId="956" xr:uid="{00000000-0005-0000-0000-0000E8040000}"/>
    <cellStyle name="Normal 2 7 8 2 3 2" xfId="4321" xr:uid="{00000000-0005-0000-0000-0000E9040000}"/>
    <cellStyle name="Normal 2 7 8 2 3 3" xfId="2962" xr:uid="{00000000-0005-0000-0000-0000EA040000}"/>
    <cellStyle name="Normal 2 7 8 2 4" xfId="1557" xr:uid="{00000000-0005-0000-0000-0000EB040000}"/>
    <cellStyle name="Normal 2 7 8 2 4 2" xfId="4922" xr:uid="{00000000-0005-0000-0000-0000EC040000}"/>
    <cellStyle name="Normal 2 7 8 2 5" xfId="3651" xr:uid="{00000000-0005-0000-0000-0000ED040000}"/>
    <cellStyle name="Normal 2 7 8 2 6" xfId="2294" xr:uid="{00000000-0005-0000-0000-0000EE040000}"/>
    <cellStyle name="Normal 2 7 8 3" xfId="433" xr:uid="{00000000-0005-0000-0000-0000EF040000}"/>
    <cellStyle name="Normal 2 7 8 3 2" xfId="1106" xr:uid="{00000000-0005-0000-0000-0000F0040000}"/>
    <cellStyle name="Normal 2 7 8 3 2 2" xfId="4471" xr:uid="{00000000-0005-0000-0000-0000F1040000}"/>
    <cellStyle name="Normal 2 7 8 3 2 3" xfId="2964" xr:uid="{00000000-0005-0000-0000-0000F2040000}"/>
    <cellStyle name="Normal 2 7 8 3 3" xfId="1558" xr:uid="{00000000-0005-0000-0000-0000F3040000}"/>
    <cellStyle name="Normal 2 7 8 3 3 2" xfId="4923" xr:uid="{00000000-0005-0000-0000-0000F4040000}"/>
    <cellStyle name="Normal 2 7 8 3 4" xfId="3801" xr:uid="{00000000-0005-0000-0000-0000F5040000}"/>
    <cellStyle name="Normal 2 7 8 3 5" xfId="2296" xr:uid="{00000000-0005-0000-0000-0000F6040000}"/>
    <cellStyle name="Normal 2 7 8 4" xfId="806" xr:uid="{00000000-0005-0000-0000-0000F7040000}"/>
    <cellStyle name="Normal 2 7 8 4 2" xfId="4171" xr:uid="{00000000-0005-0000-0000-0000F8040000}"/>
    <cellStyle name="Normal 2 7 8 4 3" xfId="2961" xr:uid="{00000000-0005-0000-0000-0000F9040000}"/>
    <cellStyle name="Normal 2 7 8 5" xfId="1559" xr:uid="{00000000-0005-0000-0000-0000FA040000}"/>
    <cellStyle name="Normal 2 7 8 5 2" xfId="4924" xr:uid="{00000000-0005-0000-0000-0000FB040000}"/>
    <cellStyle name="Normal 2 7 8 6" xfId="3501" xr:uid="{00000000-0005-0000-0000-0000FC040000}"/>
    <cellStyle name="Normal 2 7 8 7" xfId="2293" xr:uid="{00000000-0005-0000-0000-0000FD040000}"/>
    <cellStyle name="Normal 2 7 9" xfId="208" xr:uid="{00000000-0005-0000-0000-0000FE040000}"/>
    <cellStyle name="Normal 2 7 9 2" xfId="508" xr:uid="{00000000-0005-0000-0000-0000FF040000}"/>
    <cellStyle name="Normal 2 7 9 2 2" xfId="1181" xr:uid="{00000000-0005-0000-0000-000000050000}"/>
    <cellStyle name="Normal 2 7 9 2 2 2" xfId="4546" xr:uid="{00000000-0005-0000-0000-000001050000}"/>
    <cellStyle name="Normal 2 7 9 2 2 3" xfId="2966" xr:uid="{00000000-0005-0000-0000-000002050000}"/>
    <cellStyle name="Normal 2 7 9 2 3" xfId="1560" xr:uid="{00000000-0005-0000-0000-000003050000}"/>
    <cellStyle name="Normal 2 7 9 2 3 2" xfId="4925" xr:uid="{00000000-0005-0000-0000-000004050000}"/>
    <cellStyle name="Normal 2 7 9 2 4" xfId="3876" xr:uid="{00000000-0005-0000-0000-000005050000}"/>
    <cellStyle name="Normal 2 7 9 2 5" xfId="2298" xr:uid="{00000000-0005-0000-0000-000006050000}"/>
    <cellStyle name="Normal 2 7 9 3" xfId="881" xr:uid="{00000000-0005-0000-0000-000007050000}"/>
    <cellStyle name="Normal 2 7 9 3 2" xfId="4246" xr:uid="{00000000-0005-0000-0000-000008050000}"/>
    <cellStyle name="Normal 2 7 9 3 3" xfId="2965" xr:uid="{00000000-0005-0000-0000-000009050000}"/>
    <cellStyle name="Normal 2 7 9 4" xfId="1561" xr:uid="{00000000-0005-0000-0000-00000A050000}"/>
    <cellStyle name="Normal 2 7 9 4 2" xfId="4926" xr:uid="{00000000-0005-0000-0000-00000B050000}"/>
    <cellStyle name="Normal 2 7 9 5" xfId="3576" xr:uid="{00000000-0005-0000-0000-00000C050000}"/>
    <cellStyle name="Normal 2 7 9 6" xfId="2297" xr:uid="{00000000-0005-0000-0000-00000D050000}"/>
    <cellStyle name="Normal 2 8" xfId="78" xr:uid="{00000000-0005-0000-0000-00000E050000}"/>
    <cellStyle name="Normal 2 8 10" xfId="2097" xr:uid="{00000000-0005-0000-0000-00000F050000}"/>
    <cellStyle name="Normal 2 8 2" xfId="105" xr:uid="{00000000-0005-0000-0000-000010050000}"/>
    <cellStyle name="Normal 2 8 2 2" xfId="180" xr:uid="{00000000-0005-0000-0000-000011050000}"/>
    <cellStyle name="Normal 2 8 2 2 2" xfId="330" xr:uid="{00000000-0005-0000-0000-000012050000}"/>
    <cellStyle name="Normal 2 8 2 2 2 2" xfId="630" xr:uid="{00000000-0005-0000-0000-000013050000}"/>
    <cellStyle name="Normal 2 8 2 2 2 2 2" xfId="1303" xr:uid="{00000000-0005-0000-0000-000014050000}"/>
    <cellStyle name="Normal 2 8 2 2 2 2 2 2" xfId="4668" xr:uid="{00000000-0005-0000-0000-000015050000}"/>
    <cellStyle name="Normal 2 8 2 2 2 2 2 3" xfId="2969" xr:uid="{00000000-0005-0000-0000-000016050000}"/>
    <cellStyle name="Normal 2 8 2 2 2 2 3" xfId="1562" xr:uid="{00000000-0005-0000-0000-000017050000}"/>
    <cellStyle name="Normal 2 8 2 2 2 2 3 2" xfId="4927" xr:uid="{00000000-0005-0000-0000-000018050000}"/>
    <cellStyle name="Normal 2 8 2 2 2 2 4" xfId="3998" xr:uid="{00000000-0005-0000-0000-000019050000}"/>
    <cellStyle name="Normal 2 8 2 2 2 2 5" xfId="2301" xr:uid="{00000000-0005-0000-0000-00001A050000}"/>
    <cellStyle name="Normal 2 8 2 2 2 3" xfId="1003" xr:uid="{00000000-0005-0000-0000-00001B050000}"/>
    <cellStyle name="Normal 2 8 2 2 2 3 2" xfId="4368" xr:uid="{00000000-0005-0000-0000-00001C050000}"/>
    <cellStyle name="Normal 2 8 2 2 2 3 3" xfId="2968" xr:uid="{00000000-0005-0000-0000-00001D050000}"/>
    <cellStyle name="Normal 2 8 2 2 2 4" xfId="1563" xr:uid="{00000000-0005-0000-0000-00001E050000}"/>
    <cellStyle name="Normal 2 8 2 2 2 4 2" xfId="4928" xr:uid="{00000000-0005-0000-0000-00001F050000}"/>
    <cellStyle name="Normal 2 8 2 2 2 5" xfId="3698" xr:uid="{00000000-0005-0000-0000-000020050000}"/>
    <cellStyle name="Normal 2 8 2 2 2 6" xfId="2300" xr:uid="{00000000-0005-0000-0000-000021050000}"/>
    <cellStyle name="Normal 2 8 2 2 3" xfId="480" xr:uid="{00000000-0005-0000-0000-000022050000}"/>
    <cellStyle name="Normal 2 8 2 2 3 2" xfId="1153" xr:uid="{00000000-0005-0000-0000-000023050000}"/>
    <cellStyle name="Normal 2 8 2 2 3 2 2" xfId="4518" xr:uid="{00000000-0005-0000-0000-000024050000}"/>
    <cellStyle name="Normal 2 8 2 2 3 2 3" xfId="2970" xr:uid="{00000000-0005-0000-0000-000025050000}"/>
    <cellStyle name="Normal 2 8 2 2 3 3" xfId="1564" xr:uid="{00000000-0005-0000-0000-000026050000}"/>
    <cellStyle name="Normal 2 8 2 2 3 3 2" xfId="4929" xr:uid="{00000000-0005-0000-0000-000027050000}"/>
    <cellStyle name="Normal 2 8 2 2 3 4" xfId="3848" xr:uid="{00000000-0005-0000-0000-000028050000}"/>
    <cellStyle name="Normal 2 8 2 2 3 5" xfId="2302" xr:uid="{00000000-0005-0000-0000-000029050000}"/>
    <cellStyle name="Normal 2 8 2 2 4" xfId="853" xr:uid="{00000000-0005-0000-0000-00002A050000}"/>
    <cellStyle name="Normal 2 8 2 2 4 2" xfId="4218" xr:uid="{00000000-0005-0000-0000-00002B050000}"/>
    <cellStyle name="Normal 2 8 2 2 4 3" xfId="2967" xr:uid="{00000000-0005-0000-0000-00002C050000}"/>
    <cellStyle name="Normal 2 8 2 2 5" xfId="1565" xr:uid="{00000000-0005-0000-0000-00002D050000}"/>
    <cellStyle name="Normal 2 8 2 2 5 2" xfId="4930" xr:uid="{00000000-0005-0000-0000-00002E050000}"/>
    <cellStyle name="Normal 2 8 2 2 6" xfId="3548" xr:uid="{00000000-0005-0000-0000-00002F050000}"/>
    <cellStyle name="Normal 2 8 2 2 7" xfId="2299" xr:uid="{00000000-0005-0000-0000-000030050000}"/>
    <cellStyle name="Normal 2 8 2 3" xfId="255" xr:uid="{00000000-0005-0000-0000-000031050000}"/>
    <cellStyle name="Normal 2 8 2 3 2" xfId="555" xr:uid="{00000000-0005-0000-0000-000032050000}"/>
    <cellStyle name="Normal 2 8 2 3 2 2" xfId="1228" xr:uid="{00000000-0005-0000-0000-000033050000}"/>
    <cellStyle name="Normal 2 8 2 3 2 2 2" xfId="4593" xr:uid="{00000000-0005-0000-0000-000034050000}"/>
    <cellStyle name="Normal 2 8 2 3 2 2 3" xfId="2972" xr:uid="{00000000-0005-0000-0000-000035050000}"/>
    <cellStyle name="Normal 2 8 2 3 2 3" xfId="1566" xr:uid="{00000000-0005-0000-0000-000036050000}"/>
    <cellStyle name="Normal 2 8 2 3 2 3 2" xfId="4931" xr:uid="{00000000-0005-0000-0000-000037050000}"/>
    <cellStyle name="Normal 2 8 2 3 2 4" xfId="3923" xr:uid="{00000000-0005-0000-0000-000038050000}"/>
    <cellStyle name="Normal 2 8 2 3 2 5" xfId="2304" xr:uid="{00000000-0005-0000-0000-000039050000}"/>
    <cellStyle name="Normal 2 8 2 3 3" xfId="928" xr:uid="{00000000-0005-0000-0000-00003A050000}"/>
    <cellStyle name="Normal 2 8 2 3 3 2" xfId="4293" xr:uid="{00000000-0005-0000-0000-00003B050000}"/>
    <cellStyle name="Normal 2 8 2 3 3 3" xfId="2971" xr:uid="{00000000-0005-0000-0000-00003C050000}"/>
    <cellStyle name="Normal 2 8 2 3 4" xfId="1567" xr:uid="{00000000-0005-0000-0000-00003D050000}"/>
    <cellStyle name="Normal 2 8 2 3 4 2" xfId="4932" xr:uid="{00000000-0005-0000-0000-00003E050000}"/>
    <cellStyle name="Normal 2 8 2 3 5" xfId="3623" xr:uid="{00000000-0005-0000-0000-00003F050000}"/>
    <cellStyle name="Normal 2 8 2 3 6" xfId="2303" xr:uid="{00000000-0005-0000-0000-000040050000}"/>
    <cellStyle name="Normal 2 8 2 4" xfId="405" xr:uid="{00000000-0005-0000-0000-000041050000}"/>
    <cellStyle name="Normal 2 8 2 4 2" xfId="1078" xr:uid="{00000000-0005-0000-0000-000042050000}"/>
    <cellStyle name="Normal 2 8 2 4 2 2" xfId="4443" xr:uid="{00000000-0005-0000-0000-000043050000}"/>
    <cellStyle name="Normal 2 8 2 4 2 3" xfId="2973" xr:uid="{00000000-0005-0000-0000-000044050000}"/>
    <cellStyle name="Normal 2 8 2 4 3" xfId="1568" xr:uid="{00000000-0005-0000-0000-000045050000}"/>
    <cellStyle name="Normal 2 8 2 4 3 2" xfId="4933" xr:uid="{00000000-0005-0000-0000-000046050000}"/>
    <cellStyle name="Normal 2 8 2 4 4" xfId="3773" xr:uid="{00000000-0005-0000-0000-000047050000}"/>
    <cellStyle name="Normal 2 8 2 4 5" xfId="2305" xr:uid="{00000000-0005-0000-0000-000048050000}"/>
    <cellStyle name="Normal 2 8 2 5" xfId="691" xr:uid="{00000000-0005-0000-0000-000049050000}"/>
    <cellStyle name="Normal 2 8 2 5 2" xfId="1364" xr:uid="{00000000-0005-0000-0000-00004A050000}"/>
    <cellStyle name="Normal 2 8 2 5 2 2" xfId="4729" xr:uid="{00000000-0005-0000-0000-00004B050000}"/>
    <cellStyle name="Normal 2 8 2 5 2 3" xfId="2974" xr:uid="{00000000-0005-0000-0000-00004C050000}"/>
    <cellStyle name="Normal 2 8 2 5 3" xfId="1569" xr:uid="{00000000-0005-0000-0000-00004D050000}"/>
    <cellStyle name="Normal 2 8 2 5 3 2" xfId="4934" xr:uid="{00000000-0005-0000-0000-00004E050000}"/>
    <cellStyle name="Normal 2 8 2 5 4" xfId="4059" xr:uid="{00000000-0005-0000-0000-00004F050000}"/>
    <cellStyle name="Normal 2 8 2 5 5" xfId="2306" xr:uid="{00000000-0005-0000-0000-000050050000}"/>
    <cellStyle name="Normal 2 8 2 6" xfId="778" xr:uid="{00000000-0005-0000-0000-000051050000}"/>
    <cellStyle name="Normal 2 8 2 6 2" xfId="4143" xr:uid="{00000000-0005-0000-0000-000052050000}"/>
    <cellStyle name="Normal 2 8 2 6 3" xfId="2791" xr:uid="{00000000-0005-0000-0000-000053050000}"/>
    <cellStyle name="Normal 2 8 2 7" xfId="1570" xr:uid="{00000000-0005-0000-0000-000054050000}"/>
    <cellStyle name="Normal 2 8 2 7 2" xfId="4935" xr:uid="{00000000-0005-0000-0000-000055050000}"/>
    <cellStyle name="Normal 2 8 2 8" xfId="3473" xr:uid="{00000000-0005-0000-0000-000056050000}"/>
    <cellStyle name="Normal 2 8 2 9" xfId="2120" xr:uid="{00000000-0005-0000-0000-000057050000}"/>
    <cellStyle name="Normal 2 8 3" xfId="154" xr:uid="{00000000-0005-0000-0000-000058050000}"/>
    <cellStyle name="Normal 2 8 3 2" xfId="304" xr:uid="{00000000-0005-0000-0000-000059050000}"/>
    <cellStyle name="Normal 2 8 3 2 2" xfId="604" xr:uid="{00000000-0005-0000-0000-00005A050000}"/>
    <cellStyle name="Normal 2 8 3 2 2 2" xfId="1277" xr:uid="{00000000-0005-0000-0000-00005B050000}"/>
    <cellStyle name="Normal 2 8 3 2 2 2 2" xfId="4642" xr:uid="{00000000-0005-0000-0000-00005C050000}"/>
    <cellStyle name="Normal 2 8 3 2 2 2 3" xfId="2977" xr:uid="{00000000-0005-0000-0000-00005D050000}"/>
    <cellStyle name="Normal 2 8 3 2 2 3" xfId="1571" xr:uid="{00000000-0005-0000-0000-00005E050000}"/>
    <cellStyle name="Normal 2 8 3 2 2 3 2" xfId="4936" xr:uid="{00000000-0005-0000-0000-00005F050000}"/>
    <cellStyle name="Normal 2 8 3 2 2 4" xfId="3972" xr:uid="{00000000-0005-0000-0000-000060050000}"/>
    <cellStyle name="Normal 2 8 3 2 2 5" xfId="2309" xr:uid="{00000000-0005-0000-0000-000061050000}"/>
    <cellStyle name="Normal 2 8 3 2 3" xfId="977" xr:uid="{00000000-0005-0000-0000-000062050000}"/>
    <cellStyle name="Normal 2 8 3 2 3 2" xfId="4342" xr:uid="{00000000-0005-0000-0000-000063050000}"/>
    <cellStyle name="Normal 2 8 3 2 3 3" xfId="2976" xr:uid="{00000000-0005-0000-0000-000064050000}"/>
    <cellStyle name="Normal 2 8 3 2 4" xfId="1572" xr:uid="{00000000-0005-0000-0000-000065050000}"/>
    <cellStyle name="Normal 2 8 3 2 4 2" xfId="4937" xr:uid="{00000000-0005-0000-0000-000066050000}"/>
    <cellStyle name="Normal 2 8 3 2 5" xfId="3672" xr:uid="{00000000-0005-0000-0000-000067050000}"/>
    <cellStyle name="Normal 2 8 3 2 6" xfId="2308" xr:uid="{00000000-0005-0000-0000-000068050000}"/>
    <cellStyle name="Normal 2 8 3 3" xfId="454" xr:uid="{00000000-0005-0000-0000-000069050000}"/>
    <cellStyle name="Normal 2 8 3 3 2" xfId="1127" xr:uid="{00000000-0005-0000-0000-00006A050000}"/>
    <cellStyle name="Normal 2 8 3 3 2 2" xfId="4492" xr:uid="{00000000-0005-0000-0000-00006B050000}"/>
    <cellStyle name="Normal 2 8 3 3 2 3" xfId="2978" xr:uid="{00000000-0005-0000-0000-00006C050000}"/>
    <cellStyle name="Normal 2 8 3 3 3" xfId="1573" xr:uid="{00000000-0005-0000-0000-00006D050000}"/>
    <cellStyle name="Normal 2 8 3 3 3 2" xfId="4938" xr:uid="{00000000-0005-0000-0000-00006E050000}"/>
    <cellStyle name="Normal 2 8 3 3 4" xfId="3822" xr:uid="{00000000-0005-0000-0000-00006F050000}"/>
    <cellStyle name="Normal 2 8 3 3 5" xfId="2310" xr:uid="{00000000-0005-0000-0000-000070050000}"/>
    <cellStyle name="Normal 2 8 3 4" xfId="827" xr:uid="{00000000-0005-0000-0000-000071050000}"/>
    <cellStyle name="Normal 2 8 3 4 2" xfId="4192" xr:uid="{00000000-0005-0000-0000-000072050000}"/>
    <cellStyle name="Normal 2 8 3 4 3" xfId="2975" xr:uid="{00000000-0005-0000-0000-000073050000}"/>
    <cellStyle name="Normal 2 8 3 5" xfId="1574" xr:uid="{00000000-0005-0000-0000-000074050000}"/>
    <cellStyle name="Normal 2 8 3 5 2" xfId="4939" xr:uid="{00000000-0005-0000-0000-000075050000}"/>
    <cellStyle name="Normal 2 8 3 6" xfId="3522" xr:uid="{00000000-0005-0000-0000-000076050000}"/>
    <cellStyle name="Normal 2 8 3 7" xfId="2307" xr:uid="{00000000-0005-0000-0000-000077050000}"/>
    <cellStyle name="Normal 2 8 4" xfId="229" xr:uid="{00000000-0005-0000-0000-000078050000}"/>
    <cellStyle name="Normal 2 8 4 2" xfId="529" xr:uid="{00000000-0005-0000-0000-000079050000}"/>
    <cellStyle name="Normal 2 8 4 2 2" xfId="1202" xr:uid="{00000000-0005-0000-0000-00007A050000}"/>
    <cellStyle name="Normal 2 8 4 2 2 2" xfId="4567" xr:uid="{00000000-0005-0000-0000-00007B050000}"/>
    <cellStyle name="Normal 2 8 4 2 2 3" xfId="2980" xr:uid="{00000000-0005-0000-0000-00007C050000}"/>
    <cellStyle name="Normal 2 8 4 2 3" xfId="1575" xr:uid="{00000000-0005-0000-0000-00007D050000}"/>
    <cellStyle name="Normal 2 8 4 2 3 2" xfId="4940" xr:uid="{00000000-0005-0000-0000-00007E050000}"/>
    <cellStyle name="Normal 2 8 4 2 4" xfId="3897" xr:uid="{00000000-0005-0000-0000-00007F050000}"/>
    <cellStyle name="Normal 2 8 4 2 5" xfId="2312" xr:uid="{00000000-0005-0000-0000-000080050000}"/>
    <cellStyle name="Normal 2 8 4 3" xfId="902" xr:uid="{00000000-0005-0000-0000-000081050000}"/>
    <cellStyle name="Normal 2 8 4 3 2" xfId="4267" xr:uid="{00000000-0005-0000-0000-000082050000}"/>
    <cellStyle name="Normal 2 8 4 3 3" xfId="2979" xr:uid="{00000000-0005-0000-0000-000083050000}"/>
    <cellStyle name="Normal 2 8 4 4" xfId="1576" xr:uid="{00000000-0005-0000-0000-000084050000}"/>
    <cellStyle name="Normal 2 8 4 4 2" xfId="4941" xr:uid="{00000000-0005-0000-0000-000085050000}"/>
    <cellStyle name="Normal 2 8 4 5" xfId="3597" xr:uid="{00000000-0005-0000-0000-000086050000}"/>
    <cellStyle name="Normal 2 8 4 6" xfId="2311" xr:uid="{00000000-0005-0000-0000-000087050000}"/>
    <cellStyle name="Normal 2 8 5" xfId="379" xr:uid="{00000000-0005-0000-0000-000088050000}"/>
    <cellStyle name="Normal 2 8 5 2" xfId="1052" xr:uid="{00000000-0005-0000-0000-000089050000}"/>
    <cellStyle name="Normal 2 8 5 2 2" xfId="4417" xr:uid="{00000000-0005-0000-0000-00008A050000}"/>
    <cellStyle name="Normal 2 8 5 2 3" xfId="2981" xr:uid="{00000000-0005-0000-0000-00008B050000}"/>
    <cellStyle name="Normal 2 8 5 3" xfId="1577" xr:uid="{00000000-0005-0000-0000-00008C050000}"/>
    <cellStyle name="Normal 2 8 5 3 2" xfId="4942" xr:uid="{00000000-0005-0000-0000-00008D050000}"/>
    <cellStyle name="Normal 2 8 5 4" xfId="3747" xr:uid="{00000000-0005-0000-0000-00008E050000}"/>
    <cellStyle name="Normal 2 8 5 5" xfId="2313" xr:uid="{00000000-0005-0000-0000-00008F050000}"/>
    <cellStyle name="Normal 2 8 6" xfId="665" xr:uid="{00000000-0005-0000-0000-000090050000}"/>
    <cellStyle name="Normal 2 8 6 2" xfId="1338" xr:uid="{00000000-0005-0000-0000-000091050000}"/>
    <cellStyle name="Normal 2 8 6 2 2" xfId="4703" xr:uid="{00000000-0005-0000-0000-000092050000}"/>
    <cellStyle name="Normal 2 8 6 2 3" xfId="2982" xr:uid="{00000000-0005-0000-0000-000093050000}"/>
    <cellStyle name="Normal 2 8 6 3" xfId="1578" xr:uid="{00000000-0005-0000-0000-000094050000}"/>
    <cellStyle name="Normal 2 8 6 3 2" xfId="4943" xr:uid="{00000000-0005-0000-0000-000095050000}"/>
    <cellStyle name="Normal 2 8 6 4" xfId="4033" xr:uid="{00000000-0005-0000-0000-000096050000}"/>
    <cellStyle name="Normal 2 8 6 5" xfId="2314" xr:uid="{00000000-0005-0000-0000-000097050000}"/>
    <cellStyle name="Normal 2 8 7" xfId="752" xr:uid="{00000000-0005-0000-0000-000098050000}"/>
    <cellStyle name="Normal 2 8 7 2" xfId="4117" xr:uid="{00000000-0005-0000-0000-000099050000}"/>
    <cellStyle name="Normal 2 8 7 3" xfId="2768" xr:uid="{00000000-0005-0000-0000-00009A050000}"/>
    <cellStyle name="Normal 2 8 8" xfId="1579" xr:uid="{00000000-0005-0000-0000-00009B050000}"/>
    <cellStyle name="Normal 2 8 8 2" xfId="4944" xr:uid="{00000000-0005-0000-0000-00009C050000}"/>
    <cellStyle name="Normal 2 8 9" xfId="3447" xr:uid="{00000000-0005-0000-0000-00009D050000}"/>
    <cellStyle name="Normal 2 9" xfId="82" xr:uid="{00000000-0005-0000-0000-00009E050000}"/>
    <cellStyle name="Normal 2 9 10" xfId="2098" xr:uid="{00000000-0005-0000-0000-00009F050000}"/>
    <cellStyle name="Normal 2 9 2" xfId="109" xr:uid="{00000000-0005-0000-0000-0000A0050000}"/>
    <cellStyle name="Normal 2 9 2 2" xfId="184" xr:uid="{00000000-0005-0000-0000-0000A1050000}"/>
    <cellStyle name="Normal 2 9 2 2 2" xfId="334" xr:uid="{00000000-0005-0000-0000-0000A2050000}"/>
    <cellStyle name="Normal 2 9 2 2 2 2" xfId="634" xr:uid="{00000000-0005-0000-0000-0000A3050000}"/>
    <cellStyle name="Normal 2 9 2 2 2 2 2" xfId="1307" xr:uid="{00000000-0005-0000-0000-0000A4050000}"/>
    <cellStyle name="Normal 2 9 2 2 2 2 2 2" xfId="4672" xr:uid="{00000000-0005-0000-0000-0000A5050000}"/>
    <cellStyle name="Normal 2 9 2 2 2 2 2 3" xfId="2985" xr:uid="{00000000-0005-0000-0000-0000A6050000}"/>
    <cellStyle name="Normal 2 9 2 2 2 2 3" xfId="1580" xr:uid="{00000000-0005-0000-0000-0000A7050000}"/>
    <cellStyle name="Normal 2 9 2 2 2 2 3 2" xfId="4945" xr:uid="{00000000-0005-0000-0000-0000A8050000}"/>
    <cellStyle name="Normal 2 9 2 2 2 2 4" xfId="4002" xr:uid="{00000000-0005-0000-0000-0000A9050000}"/>
    <cellStyle name="Normal 2 9 2 2 2 2 5" xfId="2317" xr:uid="{00000000-0005-0000-0000-0000AA050000}"/>
    <cellStyle name="Normal 2 9 2 2 2 3" xfId="1007" xr:uid="{00000000-0005-0000-0000-0000AB050000}"/>
    <cellStyle name="Normal 2 9 2 2 2 3 2" xfId="4372" xr:uid="{00000000-0005-0000-0000-0000AC050000}"/>
    <cellStyle name="Normal 2 9 2 2 2 3 3" xfId="2984" xr:uid="{00000000-0005-0000-0000-0000AD050000}"/>
    <cellStyle name="Normal 2 9 2 2 2 4" xfId="1581" xr:uid="{00000000-0005-0000-0000-0000AE050000}"/>
    <cellStyle name="Normal 2 9 2 2 2 4 2" xfId="4946" xr:uid="{00000000-0005-0000-0000-0000AF050000}"/>
    <cellStyle name="Normal 2 9 2 2 2 5" xfId="3702" xr:uid="{00000000-0005-0000-0000-0000B0050000}"/>
    <cellStyle name="Normal 2 9 2 2 2 6" xfId="2316" xr:uid="{00000000-0005-0000-0000-0000B1050000}"/>
    <cellStyle name="Normal 2 9 2 2 3" xfId="484" xr:uid="{00000000-0005-0000-0000-0000B2050000}"/>
    <cellStyle name="Normal 2 9 2 2 3 2" xfId="1157" xr:uid="{00000000-0005-0000-0000-0000B3050000}"/>
    <cellStyle name="Normal 2 9 2 2 3 2 2" xfId="4522" xr:uid="{00000000-0005-0000-0000-0000B4050000}"/>
    <cellStyle name="Normal 2 9 2 2 3 2 3" xfId="2986" xr:uid="{00000000-0005-0000-0000-0000B5050000}"/>
    <cellStyle name="Normal 2 9 2 2 3 3" xfId="1582" xr:uid="{00000000-0005-0000-0000-0000B6050000}"/>
    <cellStyle name="Normal 2 9 2 2 3 3 2" xfId="4947" xr:uid="{00000000-0005-0000-0000-0000B7050000}"/>
    <cellStyle name="Normal 2 9 2 2 3 4" xfId="3852" xr:uid="{00000000-0005-0000-0000-0000B8050000}"/>
    <cellStyle name="Normal 2 9 2 2 3 5" xfId="2318" xr:uid="{00000000-0005-0000-0000-0000B9050000}"/>
    <cellStyle name="Normal 2 9 2 2 4" xfId="857" xr:uid="{00000000-0005-0000-0000-0000BA050000}"/>
    <cellStyle name="Normal 2 9 2 2 4 2" xfId="4222" xr:uid="{00000000-0005-0000-0000-0000BB050000}"/>
    <cellStyle name="Normal 2 9 2 2 4 3" xfId="2983" xr:uid="{00000000-0005-0000-0000-0000BC050000}"/>
    <cellStyle name="Normal 2 9 2 2 5" xfId="1583" xr:uid="{00000000-0005-0000-0000-0000BD050000}"/>
    <cellStyle name="Normal 2 9 2 2 5 2" xfId="4948" xr:uid="{00000000-0005-0000-0000-0000BE050000}"/>
    <cellStyle name="Normal 2 9 2 2 6" xfId="3552" xr:uid="{00000000-0005-0000-0000-0000BF050000}"/>
    <cellStyle name="Normal 2 9 2 2 7" xfId="2315" xr:uid="{00000000-0005-0000-0000-0000C0050000}"/>
    <cellStyle name="Normal 2 9 2 3" xfId="259" xr:uid="{00000000-0005-0000-0000-0000C1050000}"/>
    <cellStyle name="Normal 2 9 2 3 2" xfId="559" xr:uid="{00000000-0005-0000-0000-0000C2050000}"/>
    <cellStyle name="Normal 2 9 2 3 2 2" xfId="1232" xr:uid="{00000000-0005-0000-0000-0000C3050000}"/>
    <cellStyle name="Normal 2 9 2 3 2 2 2" xfId="4597" xr:uid="{00000000-0005-0000-0000-0000C4050000}"/>
    <cellStyle name="Normal 2 9 2 3 2 2 3" xfId="2988" xr:uid="{00000000-0005-0000-0000-0000C5050000}"/>
    <cellStyle name="Normal 2 9 2 3 2 3" xfId="1584" xr:uid="{00000000-0005-0000-0000-0000C6050000}"/>
    <cellStyle name="Normal 2 9 2 3 2 3 2" xfId="4949" xr:uid="{00000000-0005-0000-0000-0000C7050000}"/>
    <cellStyle name="Normal 2 9 2 3 2 4" xfId="3927" xr:uid="{00000000-0005-0000-0000-0000C8050000}"/>
    <cellStyle name="Normal 2 9 2 3 2 5" xfId="2320" xr:uid="{00000000-0005-0000-0000-0000C9050000}"/>
    <cellStyle name="Normal 2 9 2 3 3" xfId="932" xr:uid="{00000000-0005-0000-0000-0000CA050000}"/>
    <cellStyle name="Normal 2 9 2 3 3 2" xfId="4297" xr:uid="{00000000-0005-0000-0000-0000CB050000}"/>
    <cellStyle name="Normal 2 9 2 3 3 3" xfId="2987" xr:uid="{00000000-0005-0000-0000-0000CC050000}"/>
    <cellStyle name="Normal 2 9 2 3 4" xfId="1585" xr:uid="{00000000-0005-0000-0000-0000CD050000}"/>
    <cellStyle name="Normal 2 9 2 3 4 2" xfId="4950" xr:uid="{00000000-0005-0000-0000-0000CE050000}"/>
    <cellStyle name="Normal 2 9 2 3 5" xfId="3627" xr:uid="{00000000-0005-0000-0000-0000CF050000}"/>
    <cellStyle name="Normal 2 9 2 3 6" xfId="2319" xr:uid="{00000000-0005-0000-0000-0000D0050000}"/>
    <cellStyle name="Normal 2 9 2 4" xfId="409" xr:uid="{00000000-0005-0000-0000-0000D1050000}"/>
    <cellStyle name="Normal 2 9 2 4 2" xfId="1082" xr:uid="{00000000-0005-0000-0000-0000D2050000}"/>
    <cellStyle name="Normal 2 9 2 4 2 2" xfId="4447" xr:uid="{00000000-0005-0000-0000-0000D3050000}"/>
    <cellStyle name="Normal 2 9 2 4 2 3" xfId="2989" xr:uid="{00000000-0005-0000-0000-0000D4050000}"/>
    <cellStyle name="Normal 2 9 2 4 3" xfId="1586" xr:uid="{00000000-0005-0000-0000-0000D5050000}"/>
    <cellStyle name="Normal 2 9 2 4 3 2" xfId="4951" xr:uid="{00000000-0005-0000-0000-0000D6050000}"/>
    <cellStyle name="Normal 2 9 2 4 4" xfId="3777" xr:uid="{00000000-0005-0000-0000-0000D7050000}"/>
    <cellStyle name="Normal 2 9 2 4 5" xfId="2321" xr:uid="{00000000-0005-0000-0000-0000D8050000}"/>
    <cellStyle name="Normal 2 9 2 5" xfId="695" xr:uid="{00000000-0005-0000-0000-0000D9050000}"/>
    <cellStyle name="Normal 2 9 2 5 2" xfId="1368" xr:uid="{00000000-0005-0000-0000-0000DA050000}"/>
    <cellStyle name="Normal 2 9 2 5 2 2" xfId="4733" xr:uid="{00000000-0005-0000-0000-0000DB050000}"/>
    <cellStyle name="Normal 2 9 2 5 2 3" xfId="2990" xr:uid="{00000000-0005-0000-0000-0000DC050000}"/>
    <cellStyle name="Normal 2 9 2 5 3" xfId="1587" xr:uid="{00000000-0005-0000-0000-0000DD050000}"/>
    <cellStyle name="Normal 2 9 2 5 3 2" xfId="4952" xr:uid="{00000000-0005-0000-0000-0000DE050000}"/>
    <cellStyle name="Normal 2 9 2 5 4" xfId="4063" xr:uid="{00000000-0005-0000-0000-0000DF050000}"/>
    <cellStyle name="Normal 2 9 2 5 5" xfId="2322" xr:uid="{00000000-0005-0000-0000-0000E0050000}"/>
    <cellStyle name="Normal 2 9 2 6" xfId="782" xr:uid="{00000000-0005-0000-0000-0000E1050000}"/>
    <cellStyle name="Normal 2 9 2 6 2" xfId="4147" xr:uid="{00000000-0005-0000-0000-0000E2050000}"/>
    <cellStyle name="Normal 2 9 2 6 3" xfId="2795" xr:uid="{00000000-0005-0000-0000-0000E3050000}"/>
    <cellStyle name="Normal 2 9 2 7" xfId="1588" xr:uid="{00000000-0005-0000-0000-0000E4050000}"/>
    <cellStyle name="Normal 2 9 2 7 2" xfId="4953" xr:uid="{00000000-0005-0000-0000-0000E5050000}"/>
    <cellStyle name="Normal 2 9 2 8" xfId="3477" xr:uid="{00000000-0005-0000-0000-0000E6050000}"/>
    <cellStyle name="Normal 2 9 2 9" xfId="2124" xr:uid="{00000000-0005-0000-0000-0000E7050000}"/>
    <cellStyle name="Normal 2 9 3" xfId="158" xr:uid="{00000000-0005-0000-0000-0000E8050000}"/>
    <cellStyle name="Normal 2 9 3 2" xfId="308" xr:uid="{00000000-0005-0000-0000-0000E9050000}"/>
    <cellStyle name="Normal 2 9 3 2 2" xfId="608" xr:uid="{00000000-0005-0000-0000-0000EA050000}"/>
    <cellStyle name="Normal 2 9 3 2 2 2" xfId="1281" xr:uid="{00000000-0005-0000-0000-0000EB050000}"/>
    <cellStyle name="Normal 2 9 3 2 2 2 2" xfId="4646" xr:uid="{00000000-0005-0000-0000-0000EC050000}"/>
    <cellStyle name="Normal 2 9 3 2 2 2 3" xfId="2993" xr:uid="{00000000-0005-0000-0000-0000ED050000}"/>
    <cellStyle name="Normal 2 9 3 2 2 3" xfId="1589" xr:uid="{00000000-0005-0000-0000-0000EE050000}"/>
    <cellStyle name="Normal 2 9 3 2 2 3 2" xfId="4954" xr:uid="{00000000-0005-0000-0000-0000EF050000}"/>
    <cellStyle name="Normal 2 9 3 2 2 4" xfId="3976" xr:uid="{00000000-0005-0000-0000-0000F0050000}"/>
    <cellStyle name="Normal 2 9 3 2 2 5" xfId="2325" xr:uid="{00000000-0005-0000-0000-0000F1050000}"/>
    <cellStyle name="Normal 2 9 3 2 3" xfId="981" xr:uid="{00000000-0005-0000-0000-0000F2050000}"/>
    <cellStyle name="Normal 2 9 3 2 3 2" xfId="4346" xr:uid="{00000000-0005-0000-0000-0000F3050000}"/>
    <cellStyle name="Normal 2 9 3 2 3 3" xfId="2992" xr:uid="{00000000-0005-0000-0000-0000F4050000}"/>
    <cellStyle name="Normal 2 9 3 2 4" xfId="1590" xr:uid="{00000000-0005-0000-0000-0000F5050000}"/>
    <cellStyle name="Normal 2 9 3 2 4 2" xfId="4955" xr:uid="{00000000-0005-0000-0000-0000F6050000}"/>
    <cellStyle name="Normal 2 9 3 2 5" xfId="3676" xr:uid="{00000000-0005-0000-0000-0000F7050000}"/>
    <cellStyle name="Normal 2 9 3 2 6" xfId="2324" xr:uid="{00000000-0005-0000-0000-0000F8050000}"/>
    <cellStyle name="Normal 2 9 3 3" xfId="458" xr:uid="{00000000-0005-0000-0000-0000F9050000}"/>
    <cellStyle name="Normal 2 9 3 3 2" xfId="1131" xr:uid="{00000000-0005-0000-0000-0000FA050000}"/>
    <cellStyle name="Normal 2 9 3 3 2 2" xfId="4496" xr:uid="{00000000-0005-0000-0000-0000FB050000}"/>
    <cellStyle name="Normal 2 9 3 3 2 3" xfId="2994" xr:uid="{00000000-0005-0000-0000-0000FC050000}"/>
    <cellStyle name="Normal 2 9 3 3 3" xfId="1591" xr:uid="{00000000-0005-0000-0000-0000FD050000}"/>
    <cellStyle name="Normal 2 9 3 3 3 2" xfId="4956" xr:uid="{00000000-0005-0000-0000-0000FE050000}"/>
    <cellStyle name="Normal 2 9 3 3 4" xfId="3826" xr:uid="{00000000-0005-0000-0000-0000FF050000}"/>
    <cellStyle name="Normal 2 9 3 3 5" xfId="2326" xr:uid="{00000000-0005-0000-0000-000000060000}"/>
    <cellStyle name="Normal 2 9 3 4" xfId="831" xr:uid="{00000000-0005-0000-0000-000001060000}"/>
    <cellStyle name="Normal 2 9 3 4 2" xfId="4196" xr:uid="{00000000-0005-0000-0000-000002060000}"/>
    <cellStyle name="Normal 2 9 3 4 3" xfId="2991" xr:uid="{00000000-0005-0000-0000-000003060000}"/>
    <cellStyle name="Normal 2 9 3 5" xfId="1592" xr:uid="{00000000-0005-0000-0000-000004060000}"/>
    <cellStyle name="Normal 2 9 3 5 2" xfId="4957" xr:uid="{00000000-0005-0000-0000-000005060000}"/>
    <cellStyle name="Normal 2 9 3 6" xfId="3526" xr:uid="{00000000-0005-0000-0000-000006060000}"/>
    <cellStyle name="Normal 2 9 3 7" xfId="2323" xr:uid="{00000000-0005-0000-0000-000007060000}"/>
    <cellStyle name="Normal 2 9 4" xfId="233" xr:uid="{00000000-0005-0000-0000-000008060000}"/>
    <cellStyle name="Normal 2 9 4 2" xfId="533" xr:uid="{00000000-0005-0000-0000-000009060000}"/>
    <cellStyle name="Normal 2 9 4 2 2" xfId="1206" xr:uid="{00000000-0005-0000-0000-00000A060000}"/>
    <cellStyle name="Normal 2 9 4 2 2 2" xfId="4571" xr:uid="{00000000-0005-0000-0000-00000B060000}"/>
    <cellStyle name="Normal 2 9 4 2 2 3" xfId="2996" xr:uid="{00000000-0005-0000-0000-00000C060000}"/>
    <cellStyle name="Normal 2 9 4 2 3" xfId="1593" xr:uid="{00000000-0005-0000-0000-00000D060000}"/>
    <cellStyle name="Normal 2 9 4 2 3 2" xfId="4958" xr:uid="{00000000-0005-0000-0000-00000E060000}"/>
    <cellStyle name="Normal 2 9 4 2 4" xfId="3901" xr:uid="{00000000-0005-0000-0000-00000F060000}"/>
    <cellStyle name="Normal 2 9 4 2 5" xfId="2328" xr:uid="{00000000-0005-0000-0000-000010060000}"/>
    <cellStyle name="Normal 2 9 4 3" xfId="906" xr:uid="{00000000-0005-0000-0000-000011060000}"/>
    <cellStyle name="Normal 2 9 4 3 2" xfId="4271" xr:uid="{00000000-0005-0000-0000-000012060000}"/>
    <cellStyle name="Normal 2 9 4 3 3" xfId="2995" xr:uid="{00000000-0005-0000-0000-000013060000}"/>
    <cellStyle name="Normal 2 9 4 4" xfId="1594" xr:uid="{00000000-0005-0000-0000-000014060000}"/>
    <cellStyle name="Normal 2 9 4 4 2" xfId="4959" xr:uid="{00000000-0005-0000-0000-000015060000}"/>
    <cellStyle name="Normal 2 9 4 5" xfId="3601" xr:uid="{00000000-0005-0000-0000-000016060000}"/>
    <cellStyle name="Normal 2 9 4 6" xfId="2327" xr:uid="{00000000-0005-0000-0000-000017060000}"/>
    <cellStyle name="Normal 2 9 5" xfId="383" xr:uid="{00000000-0005-0000-0000-000018060000}"/>
    <cellStyle name="Normal 2 9 5 2" xfId="1056" xr:uid="{00000000-0005-0000-0000-000019060000}"/>
    <cellStyle name="Normal 2 9 5 2 2" xfId="4421" xr:uid="{00000000-0005-0000-0000-00001A060000}"/>
    <cellStyle name="Normal 2 9 5 2 3" xfId="2997" xr:uid="{00000000-0005-0000-0000-00001B060000}"/>
    <cellStyle name="Normal 2 9 5 3" xfId="1595" xr:uid="{00000000-0005-0000-0000-00001C060000}"/>
    <cellStyle name="Normal 2 9 5 3 2" xfId="4960" xr:uid="{00000000-0005-0000-0000-00001D060000}"/>
    <cellStyle name="Normal 2 9 5 4" xfId="3751" xr:uid="{00000000-0005-0000-0000-00001E060000}"/>
    <cellStyle name="Normal 2 9 5 5" xfId="2329" xr:uid="{00000000-0005-0000-0000-00001F060000}"/>
    <cellStyle name="Normal 2 9 6" xfId="669" xr:uid="{00000000-0005-0000-0000-000020060000}"/>
    <cellStyle name="Normal 2 9 6 2" xfId="1342" xr:uid="{00000000-0005-0000-0000-000021060000}"/>
    <cellStyle name="Normal 2 9 6 2 2" xfId="4707" xr:uid="{00000000-0005-0000-0000-000022060000}"/>
    <cellStyle name="Normal 2 9 6 2 3" xfId="2998" xr:uid="{00000000-0005-0000-0000-000023060000}"/>
    <cellStyle name="Normal 2 9 6 3" xfId="1596" xr:uid="{00000000-0005-0000-0000-000024060000}"/>
    <cellStyle name="Normal 2 9 6 3 2" xfId="4961" xr:uid="{00000000-0005-0000-0000-000025060000}"/>
    <cellStyle name="Normal 2 9 6 4" xfId="4037" xr:uid="{00000000-0005-0000-0000-000026060000}"/>
    <cellStyle name="Normal 2 9 6 5" xfId="2330" xr:uid="{00000000-0005-0000-0000-000027060000}"/>
    <cellStyle name="Normal 2 9 7" xfId="756" xr:uid="{00000000-0005-0000-0000-000028060000}"/>
    <cellStyle name="Normal 2 9 7 2" xfId="4121" xr:uid="{00000000-0005-0000-0000-000029060000}"/>
    <cellStyle name="Normal 2 9 7 3" xfId="2769" xr:uid="{00000000-0005-0000-0000-00002A060000}"/>
    <cellStyle name="Normal 2 9 8" xfId="1597" xr:uid="{00000000-0005-0000-0000-00002B060000}"/>
    <cellStyle name="Normal 2 9 8 2" xfId="4962" xr:uid="{00000000-0005-0000-0000-00002C060000}"/>
    <cellStyle name="Normal 2 9 9" xfId="3451" xr:uid="{00000000-0005-0000-0000-00002D060000}"/>
    <cellStyle name="Normal 2_BOD_0015_SFS_DAL_CA_Annexe_Mapping_Client_S1F1" xfId="2150" xr:uid="{00000000-0005-0000-0000-00002E060000}"/>
    <cellStyle name="Normal 3" xfId="10" xr:uid="{00000000-0005-0000-0000-00002F060000}"/>
    <cellStyle name="Normal 3 10" xfId="209" xr:uid="{00000000-0005-0000-0000-000030060000}"/>
    <cellStyle name="Normal 3 10 2" xfId="509" xr:uid="{00000000-0005-0000-0000-000031060000}"/>
    <cellStyle name="Normal 3 10 2 2" xfId="1182" xr:uid="{00000000-0005-0000-0000-000032060000}"/>
    <cellStyle name="Normal 3 10 2 2 2" xfId="4547" xr:uid="{00000000-0005-0000-0000-000033060000}"/>
    <cellStyle name="Normal 3 10 2 2 3" xfId="3000" xr:uid="{00000000-0005-0000-0000-000034060000}"/>
    <cellStyle name="Normal 3 10 2 3" xfId="1598" xr:uid="{00000000-0005-0000-0000-000035060000}"/>
    <cellStyle name="Normal 3 10 2 3 2" xfId="4963" xr:uid="{00000000-0005-0000-0000-000036060000}"/>
    <cellStyle name="Normal 3 10 2 4" xfId="3877" xr:uid="{00000000-0005-0000-0000-000037060000}"/>
    <cellStyle name="Normal 3 10 2 5" xfId="2332" xr:uid="{00000000-0005-0000-0000-000038060000}"/>
    <cellStyle name="Normal 3 10 3" xfId="882" xr:uid="{00000000-0005-0000-0000-000039060000}"/>
    <cellStyle name="Normal 3 10 3 2" xfId="4247" xr:uid="{00000000-0005-0000-0000-00003A060000}"/>
    <cellStyle name="Normal 3 10 3 3" xfId="2999" xr:uid="{00000000-0005-0000-0000-00003B060000}"/>
    <cellStyle name="Normal 3 10 4" xfId="1599" xr:uid="{00000000-0005-0000-0000-00003C060000}"/>
    <cellStyle name="Normal 3 10 4 2" xfId="4964" xr:uid="{00000000-0005-0000-0000-00003D060000}"/>
    <cellStyle name="Normal 3 10 5" xfId="3577" xr:uid="{00000000-0005-0000-0000-00003E060000}"/>
    <cellStyle name="Normal 3 10 6" xfId="2331" xr:uid="{00000000-0005-0000-0000-00003F060000}"/>
    <cellStyle name="Normal 3 11" xfId="359" xr:uid="{00000000-0005-0000-0000-000040060000}"/>
    <cellStyle name="Normal 3 11 2" xfId="1032" xr:uid="{00000000-0005-0000-0000-000041060000}"/>
    <cellStyle name="Normal 3 11 2 2" xfId="4397" xr:uid="{00000000-0005-0000-0000-000042060000}"/>
    <cellStyle name="Normal 3 11 2 3" xfId="3001" xr:uid="{00000000-0005-0000-0000-000043060000}"/>
    <cellStyle name="Normal 3 11 3" xfId="1600" xr:uid="{00000000-0005-0000-0000-000044060000}"/>
    <cellStyle name="Normal 3 11 3 2" xfId="4965" xr:uid="{00000000-0005-0000-0000-000045060000}"/>
    <cellStyle name="Normal 3 11 4" xfId="3727" xr:uid="{00000000-0005-0000-0000-000046060000}"/>
    <cellStyle name="Normal 3 11 5" xfId="2333" xr:uid="{00000000-0005-0000-0000-000047060000}"/>
    <cellStyle name="Normal 3 12" xfId="659" xr:uid="{00000000-0005-0000-0000-000048060000}"/>
    <cellStyle name="Normal 3 12 2" xfId="1332" xr:uid="{00000000-0005-0000-0000-000049060000}"/>
    <cellStyle name="Normal 3 12 2 2" xfId="4697" xr:uid="{00000000-0005-0000-0000-00004A060000}"/>
    <cellStyle name="Normal 3 12 2 3" xfId="3002" xr:uid="{00000000-0005-0000-0000-00004B060000}"/>
    <cellStyle name="Normal 3 12 3" xfId="1601" xr:uid="{00000000-0005-0000-0000-00004C060000}"/>
    <cellStyle name="Normal 3 12 3 2" xfId="4966" xr:uid="{00000000-0005-0000-0000-00004D060000}"/>
    <cellStyle name="Normal 3 12 4" xfId="4027" xr:uid="{00000000-0005-0000-0000-00004E060000}"/>
    <cellStyle name="Normal 3 12 5" xfId="2334" xr:uid="{00000000-0005-0000-0000-00004F060000}"/>
    <cellStyle name="Normal 3 13" xfId="732" xr:uid="{00000000-0005-0000-0000-000050060000}"/>
    <cellStyle name="Normal 3 13 2" xfId="4097" xr:uid="{00000000-0005-0000-0000-000051060000}"/>
    <cellStyle name="Normal 3 13 3" xfId="2760" xr:uid="{00000000-0005-0000-0000-000052060000}"/>
    <cellStyle name="Normal 3 14" xfId="1602" xr:uid="{00000000-0005-0000-0000-000053060000}"/>
    <cellStyle name="Normal 3 14 2" xfId="4967" xr:uid="{00000000-0005-0000-0000-000054060000}"/>
    <cellStyle name="Normal 3 15" xfId="3427" xr:uid="{00000000-0005-0000-0000-000055060000}"/>
    <cellStyle name="Normal 3 16" xfId="2084" xr:uid="{00000000-0005-0000-0000-000056060000}"/>
    <cellStyle name="Normal 3 2" xfId="11" xr:uid="{00000000-0005-0000-0000-000057060000}"/>
    <cellStyle name="Normal 3 2 10" xfId="360" xr:uid="{00000000-0005-0000-0000-000058060000}"/>
    <cellStyle name="Normal 3 2 10 2" xfId="1033" xr:uid="{00000000-0005-0000-0000-000059060000}"/>
    <cellStyle name="Normal 3 2 10 2 2" xfId="4398" xr:uid="{00000000-0005-0000-0000-00005A060000}"/>
    <cellStyle name="Normal 3 2 10 2 3" xfId="3003" xr:uid="{00000000-0005-0000-0000-00005B060000}"/>
    <cellStyle name="Normal 3 2 10 3" xfId="1603" xr:uid="{00000000-0005-0000-0000-00005C060000}"/>
    <cellStyle name="Normal 3 2 10 3 2" xfId="4968" xr:uid="{00000000-0005-0000-0000-00005D060000}"/>
    <cellStyle name="Normal 3 2 10 4" xfId="3728" xr:uid="{00000000-0005-0000-0000-00005E060000}"/>
    <cellStyle name="Normal 3 2 10 5" xfId="2335" xr:uid="{00000000-0005-0000-0000-00005F060000}"/>
    <cellStyle name="Normal 3 2 11" xfId="661" xr:uid="{00000000-0005-0000-0000-000060060000}"/>
    <cellStyle name="Normal 3 2 11 2" xfId="1334" xr:uid="{00000000-0005-0000-0000-000061060000}"/>
    <cellStyle name="Normal 3 2 11 2 2" xfId="4699" xr:uid="{00000000-0005-0000-0000-000062060000}"/>
    <cellStyle name="Normal 3 2 11 2 3" xfId="3004" xr:uid="{00000000-0005-0000-0000-000063060000}"/>
    <cellStyle name="Normal 3 2 11 3" xfId="1604" xr:uid="{00000000-0005-0000-0000-000064060000}"/>
    <cellStyle name="Normal 3 2 11 3 2" xfId="4969" xr:uid="{00000000-0005-0000-0000-000065060000}"/>
    <cellStyle name="Normal 3 2 11 4" xfId="4029" xr:uid="{00000000-0005-0000-0000-000066060000}"/>
    <cellStyle name="Normal 3 2 11 5" xfId="2336" xr:uid="{00000000-0005-0000-0000-000067060000}"/>
    <cellStyle name="Normal 3 2 12" xfId="733" xr:uid="{00000000-0005-0000-0000-000068060000}"/>
    <cellStyle name="Normal 3 2 12 2" xfId="4098" xr:uid="{00000000-0005-0000-0000-000069060000}"/>
    <cellStyle name="Normal 3 2 12 3" xfId="2761" xr:uid="{00000000-0005-0000-0000-00006A060000}"/>
    <cellStyle name="Normal 3 2 13" xfId="1605" xr:uid="{00000000-0005-0000-0000-00006B060000}"/>
    <cellStyle name="Normal 3 2 13 2" xfId="4970" xr:uid="{00000000-0005-0000-0000-00006C060000}"/>
    <cellStyle name="Normal 3 2 14" xfId="3428" xr:uid="{00000000-0005-0000-0000-00006D060000}"/>
    <cellStyle name="Normal 3 2 15" xfId="2085" xr:uid="{00000000-0005-0000-0000-00006E060000}"/>
    <cellStyle name="Normal 3 2 2" xfId="20" xr:uid="{00000000-0005-0000-0000-00006F060000}"/>
    <cellStyle name="Normal 3 2 2 10" xfId="1606" xr:uid="{00000000-0005-0000-0000-000070060000}"/>
    <cellStyle name="Normal 3 2 2 10 2" xfId="4971" xr:uid="{00000000-0005-0000-0000-000071060000}"/>
    <cellStyle name="Normal 3 2 2 11" xfId="3431" xr:uid="{00000000-0005-0000-0000-000072060000}"/>
    <cellStyle name="Normal 3 2 2 12" xfId="2088" xr:uid="{00000000-0005-0000-0000-000073060000}"/>
    <cellStyle name="Normal 3 2 2 2" xfId="108" xr:uid="{00000000-0005-0000-0000-000074060000}"/>
    <cellStyle name="Normal 3 2 2 2 2" xfId="183" xr:uid="{00000000-0005-0000-0000-000075060000}"/>
    <cellStyle name="Normal 3 2 2 2 2 2" xfId="333" xr:uid="{00000000-0005-0000-0000-000076060000}"/>
    <cellStyle name="Normal 3 2 2 2 2 2 2" xfId="633" xr:uid="{00000000-0005-0000-0000-000077060000}"/>
    <cellStyle name="Normal 3 2 2 2 2 2 2 2" xfId="1306" xr:uid="{00000000-0005-0000-0000-000078060000}"/>
    <cellStyle name="Normal 3 2 2 2 2 2 2 2 2" xfId="4671" xr:uid="{00000000-0005-0000-0000-000079060000}"/>
    <cellStyle name="Normal 3 2 2 2 2 2 2 2 3" xfId="3007" xr:uid="{00000000-0005-0000-0000-00007A060000}"/>
    <cellStyle name="Normal 3 2 2 2 2 2 2 3" xfId="1607" xr:uid="{00000000-0005-0000-0000-00007B060000}"/>
    <cellStyle name="Normal 3 2 2 2 2 2 2 3 2" xfId="4972" xr:uid="{00000000-0005-0000-0000-00007C060000}"/>
    <cellStyle name="Normal 3 2 2 2 2 2 2 4" xfId="4001" xr:uid="{00000000-0005-0000-0000-00007D060000}"/>
    <cellStyle name="Normal 3 2 2 2 2 2 2 5" xfId="2339" xr:uid="{00000000-0005-0000-0000-00007E060000}"/>
    <cellStyle name="Normal 3 2 2 2 2 2 3" xfId="1006" xr:uid="{00000000-0005-0000-0000-00007F060000}"/>
    <cellStyle name="Normal 3 2 2 2 2 2 3 2" xfId="4371" xr:uid="{00000000-0005-0000-0000-000080060000}"/>
    <cellStyle name="Normal 3 2 2 2 2 2 3 3" xfId="3006" xr:uid="{00000000-0005-0000-0000-000081060000}"/>
    <cellStyle name="Normal 3 2 2 2 2 2 4" xfId="1608" xr:uid="{00000000-0005-0000-0000-000082060000}"/>
    <cellStyle name="Normal 3 2 2 2 2 2 4 2" xfId="4973" xr:uid="{00000000-0005-0000-0000-000083060000}"/>
    <cellStyle name="Normal 3 2 2 2 2 2 5" xfId="3701" xr:uid="{00000000-0005-0000-0000-000084060000}"/>
    <cellStyle name="Normal 3 2 2 2 2 2 6" xfId="2338" xr:uid="{00000000-0005-0000-0000-000085060000}"/>
    <cellStyle name="Normal 3 2 2 2 2 3" xfId="483" xr:uid="{00000000-0005-0000-0000-000086060000}"/>
    <cellStyle name="Normal 3 2 2 2 2 3 2" xfId="1156" xr:uid="{00000000-0005-0000-0000-000087060000}"/>
    <cellStyle name="Normal 3 2 2 2 2 3 2 2" xfId="4521" xr:uid="{00000000-0005-0000-0000-000088060000}"/>
    <cellStyle name="Normal 3 2 2 2 2 3 2 3" xfId="3008" xr:uid="{00000000-0005-0000-0000-000089060000}"/>
    <cellStyle name="Normal 3 2 2 2 2 3 3" xfId="1609" xr:uid="{00000000-0005-0000-0000-00008A060000}"/>
    <cellStyle name="Normal 3 2 2 2 2 3 3 2" xfId="4974" xr:uid="{00000000-0005-0000-0000-00008B060000}"/>
    <cellStyle name="Normal 3 2 2 2 2 3 4" xfId="3851" xr:uid="{00000000-0005-0000-0000-00008C060000}"/>
    <cellStyle name="Normal 3 2 2 2 2 3 5" xfId="2340" xr:uid="{00000000-0005-0000-0000-00008D060000}"/>
    <cellStyle name="Normal 3 2 2 2 2 4" xfId="856" xr:uid="{00000000-0005-0000-0000-00008E060000}"/>
    <cellStyle name="Normal 3 2 2 2 2 4 2" xfId="4221" xr:uid="{00000000-0005-0000-0000-00008F060000}"/>
    <cellStyle name="Normal 3 2 2 2 2 4 3" xfId="3005" xr:uid="{00000000-0005-0000-0000-000090060000}"/>
    <cellStyle name="Normal 3 2 2 2 2 5" xfId="1610" xr:uid="{00000000-0005-0000-0000-000091060000}"/>
    <cellStyle name="Normal 3 2 2 2 2 5 2" xfId="4975" xr:uid="{00000000-0005-0000-0000-000092060000}"/>
    <cellStyle name="Normal 3 2 2 2 2 6" xfId="3551" xr:uid="{00000000-0005-0000-0000-000093060000}"/>
    <cellStyle name="Normal 3 2 2 2 2 7" xfId="2337" xr:uid="{00000000-0005-0000-0000-000094060000}"/>
    <cellStyle name="Normal 3 2 2 2 3" xfId="258" xr:uid="{00000000-0005-0000-0000-000095060000}"/>
    <cellStyle name="Normal 3 2 2 2 3 2" xfId="558" xr:uid="{00000000-0005-0000-0000-000096060000}"/>
    <cellStyle name="Normal 3 2 2 2 3 2 2" xfId="1231" xr:uid="{00000000-0005-0000-0000-000097060000}"/>
    <cellStyle name="Normal 3 2 2 2 3 2 2 2" xfId="4596" xr:uid="{00000000-0005-0000-0000-000098060000}"/>
    <cellStyle name="Normal 3 2 2 2 3 2 2 3" xfId="3010" xr:uid="{00000000-0005-0000-0000-000099060000}"/>
    <cellStyle name="Normal 3 2 2 2 3 2 3" xfId="1611" xr:uid="{00000000-0005-0000-0000-00009A060000}"/>
    <cellStyle name="Normal 3 2 2 2 3 2 3 2" xfId="4976" xr:uid="{00000000-0005-0000-0000-00009B060000}"/>
    <cellStyle name="Normal 3 2 2 2 3 2 4" xfId="3926" xr:uid="{00000000-0005-0000-0000-00009C060000}"/>
    <cellStyle name="Normal 3 2 2 2 3 2 5" xfId="2342" xr:uid="{00000000-0005-0000-0000-00009D060000}"/>
    <cellStyle name="Normal 3 2 2 2 3 3" xfId="931" xr:uid="{00000000-0005-0000-0000-00009E060000}"/>
    <cellStyle name="Normal 3 2 2 2 3 3 2" xfId="4296" xr:uid="{00000000-0005-0000-0000-00009F060000}"/>
    <cellStyle name="Normal 3 2 2 2 3 3 3" xfId="3009" xr:uid="{00000000-0005-0000-0000-0000A0060000}"/>
    <cellStyle name="Normal 3 2 2 2 3 4" xfId="1612" xr:uid="{00000000-0005-0000-0000-0000A1060000}"/>
    <cellStyle name="Normal 3 2 2 2 3 4 2" xfId="4977" xr:uid="{00000000-0005-0000-0000-0000A2060000}"/>
    <cellStyle name="Normal 3 2 2 2 3 5" xfId="3626" xr:uid="{00000000-0005-0000-0000-0000A3060000}"/>
    <cellStyle name="Normal 3 2 2 2 3 6" xfId="2341" xr:uid="{00000000-0005-0000-0000-0000A4060000}"/>
    <cellStyle name="Normal 3 2 2 2 4" xfId="408" xr:uid="{00000000-0005-0000-0000-0000A5060000}"/>
    <cellStyle name="Normal 3 2 2 2 4 2" xfId="1081" xr:uid="{00000000-0005-0000-0000-0000A6060000}"/>
    <cellStyle name="Normal 3 2 2 2 4 2 2" xfId="4446" xr:uid="{00000000-0005-0000-0000-0000A7060000}"/>
    <cellStyle name="Normal 3 2 2 2 4 2 3" xfId="3011" xr:uid="{00000000-0005-0000-0000-0000A8060000}"/>
    <cellStyle name="Normal 3 2 2 2 4 3" xfId="1613" xr:uid="{00000000-0005-0000-0000-0000A9060000}"/>
    <cellStyle name="Normal 3 2 2 2 4 3 2" xfId="4978" xr:uid="{00000000-0005-0000-0000-0000AA060000}"/>
    <cellStyle name="Normal 3 2 2 2 4 4" xfId="3776" xr:uid="{00000000-0005-0000-0000-0000AB060000}"/>
    <cellStyle name="Normal 3 2 2 2 4 5" xfId="2343" xr:uid="{00000000-0005-0000-0000-0000AC060000}"/>
    <cellStyle name="Normal 3 2 2 2 5" xfId="694" xr:uid="{00000000-0005-0000-0000-0000AD060000}"/>
    <cellStyle name="Normal 3 2 2 2 5 2" xfId="1367" xr:uid="{00000000-0005-0000-0000-0000AE060000}"/>
    <cellStyle name="Normal 3 2 2 2 5 2 2" xfId="4732" xr:uid="{00000000-0005-0000-0000-0000AF060000}"/>
    <cellStyle name="Normal 3 2 2 2 5 2 3" xfId="3012" xr:uid="{00000000-0005-0000-0000-0000B0060000}"/>
    <cellStyle name="Normal 3 2 2 2 5 3" xfId="1614" xr:uid="{00000000-0005-0000-0000-0000B1060000}"/>
    <cellStyle name="Normal 3 2 2 2 5 3 2" xfId="4979" xr:uid="{00000000-0005-0000-0000-0000B2060000}"/>
    <cellStyle name="Normal 3 2 2 2 5 4" xfId="4062" xr:uid="{00000000-0005-0000-0000-0000B3060000}"/>
    <cellStyle name="Normal 3 2 2 2 5 5" xfId="2344" xr:uid="{00000000-0005-0000-0000-0000B4060000}"/>
    <cellStyle name="Normal 3 2 2 2 6" xfId="781" xr:uid="{00000000-0005-0000-0000-0000B5060000}"/>
    <cellStyle name="Normal 3 2 2 2 6 2" xfId="4146" xr:uid="{00000000-0005-0000-0000-0000B6060000}"/>
    <cellStyle name="Normal 3 2 2 2 6 3" xfId="2794" xr:uid="{00000000-0005-0000-0000-0000B7060000}"/>
    <cellStyle name="Normal 3 2 2 2 7" xfId="1615" xr:uid="{00000000-0005-0000-0000-0000B8060000}"/>
    <cellStyle name="Normal 3 2 2 2 7 2" xfId="4980" xr:uid="{00000000-0005-0000-0000-0000B9060000}"/>
    <cellStyle name="Normal 3 2 2 2 8" xfId="3476" xr:uid="{00000000-0005-0000-0000-0000BA060000}"/>
    <cellStyle name="Normal 3 2 2 2 9" xfId="2123" xr:uid="{00000000-0005-0000-0000-0000BB060000}"/>
    <cellStyle name="Normal 3 2 2 3" xfId="81" xr:uid="{00000000-0005-0000-0000-0000BC060000}"/>
    <cellStyle name="Normal 3 2 2 3 2" xfId="157" xr:uid="{00000000-0005-0000-0000-0000BD060000}"/>
    <cellStyle name="Normal 3 2 2 3 2 2" xfId="307" xr:uid="{00000000-0005-0000-0000-0000BE060000}"/>
    <cellStyle name="Normal 3 2 2 3 2 2 2" xfId="607" xr:uid="{00000000-0005-0000-0000-0000BF060000}"/>
    <cellStyle name="Normal 3 2 2 3 2 2 2 2" xfId="1280" xr:uid="{00000000-0005-0000-0000-0000C0060000}"/>
    <cellStyle name="Normal 3 2 2 3 2 2 2 2 2" xfId="4645" xr:uid="{00000000-0005-0000-0000-0000C1060000}"/>
    <cellStyle name="Normal 3 2 2 3 2 2 2 2 3" xfId="3015" xr:uid="{00000000-0005-0000-0000-0000C2060000}"/>
    <cellStyle name="Normal 3 2 2 3 2 2 2 3" xfId="1616" xr:uid="{00000000-0005-0000-0000-0000C3060000}"/>
    <cellStyle name="Normal 3 2 2 3 2 2 2 3 2" xfId="4981" xr:uid="{00000000-0005-0000-0000-0000C4060000}"/>
    <cellStyle name="Normal 3 2 2 3 2 2 2 4" xfId="3975" xr:uid="{00000000-0005-0000-0000-0000C5060000}"/>
    <cellStyle name="Normal 3 2 2 3 2 2 2 5" xfId="2347" xr:uid="{00000000-0005-0000-0000-0000C6060000}"/>
    <cellStyle name="Normal 3 2 2 3 2 2 3" xfId="980" xr:uid="{00000000-0005-0000-0000-0000C7060000}"/>
    <cellStyle name="Normal 3 2 2 3 2 2 3 2" xfId="4345" xr:uid="{00000000-0005-0000-0000-0000C8060000}"/>
    <cellStyle name="Normal 3 2 2 3 2 2 3 3" xfId="3014" xr:uid="{00000000-0005-0000-0000-0000C9060000}"/>
    <cellStyle name="Normal 3 2 2 3 2 2 4" xfId="1617" xr:uid="{00000000-0005-0000-0000-0000CA060000}"/>
    <cellStyle name="Normal 3 2 2 3 2 2 4 2" xfId="4982" xr:uid="{00000000-0005-0000-0000-0000CB060000}"/>
    <cellStyle name="Normal 3 2 2 3 2 2 5" xfId="3675" xr:uid="{00000000-0005-0000-0000-0000CC060000}"/>
    <cellStyle name="Normal 3 2 2 3 2 2 6" xfId="2346" xr:uid="{00000000-0005-0000-0000-0000CD060000}"/>
    <cellStyle name="Normal 3 2 2 3 2 3" xfId="457" xr:uid="{00000000-0005-0000-0000-0000CE060000}"/>
    <cellStyle name="Normal 3 2 2 3 2 3 2" xfId="1130" xr:uid="{00000000-0005-0000-0000-0000CF060000}"/>
    <cellStyle name="Normal 3 2 2 3 2 3 2 2" xfId="4495" xr:uid="{00000000-0005-0000-0000-0000D0060000}"/>
    <cellStyle name="Normal 3 2 2 3 2 3 2 3" xfId="3016" xr:uid="{00000000-0005-0000-0000-0000D1060000}"/>
    <cellStyle name="Normal 3 2 2 3 2 3 3" xfId="1618" xr:uid="{00000000-0005-0000-0000-0000D2060000}"/>
    <cellStyle name="Normal 3 2 2 3 2 3 3 2" xfId="4983" xr:uid="{00000000-0005-0000-0000-0000D3060000}"/>
    <cellStyle name="Normal 3 2 2 3 2 3 4" xfId="3825" xr:uid="{00000000-0005-0000-0000-0000D4060000}"/>
    <cellStyle name="Normal 3 2 2 3 2 3 5" xfId="2348" xr:uid="{00000000-0005-0000-0000-0000D5060000}"/>
    <cellStyle name="Normal 3 2 2 3 2 4" xfId="830" xr:uid="{00000000-0005-0000-0000-0000D6060000}"/>
    <cellStyle name="Normal 3 2 2 3 2 4 2" xfId="4195" xr:uid="{00000000-0005-0000-0000-0000D7060000}"/>
    <cellStyle name="Normal 3 2 2 3 2 4 3" xfId="3013" xr:uid="{00000000-0005-0000-0000-0000D8060000}"/>
    <cellStyle name="Normal 3 2 2 3 2 5" xfId="1619" xr:uid="{00000000-0005-0000-0000-0000D9060000}"/>
    <cellStyle name="Normal 3 2 2 3 2 5 2" xfId="4984" xr:uid="{00000000-0005-0000-0000-0000DA060000}"/>
    <cellStyle name="Normal 3 2 2 3 2 6" xfId="3525" xr:uid="{00000000-0005-0000-0000-0000DB060000}"/>
    <cellStyle name="Normal 3 2 2 3 2 7" xfId="2345" xr:uid="{00000000-0005-0000-0000-0000DC060000}"/>
    <cellStyle name="Normal 3 2 2 3 3" xfId="232" xr:uid="{00000000-0005-0000-0000-0000DD060000}"/>
    <cellStyle name="Normal 3 2 2 3 3 2" xfId="532" xr:uid="{00000000-0005-0000-0000-0000DE060000}"/>
    <cellStyle name="Normal 3 2 2 3 3 2 2" xfId="1205" xr:uid="{00000000-0005-0000-0000-0000DF060000}"/>
    <cellStyle name="Normal 3 2 2 3 3 2 2 2" xfId="4570" xr:uid="{00000000-0005-0000-0000-0000E0060000}"/>
    <cellStyle name="Normal 3 2 2 3 3 2 2 3" xfId="3018" xr:uid="{00000000-0005-0000-0000-0000E1060000}"/>
    <cellStyle name="Normal 3 2 2 3 3 2 3" xfId="1620" xr:uid="{00000000-0005-0000-0000-0000E2060000}"/>
    <cellStyle name="Normal 3 2 2 3 3 2 3 2" xfId="4985" xr:uid="{00000000-0005-0000-0000-0000E3060000}"/>
    <cellStyle name="Normal 3 2 2 3 3 2 4" xfId="3900" xr:uid="{00000000-0005-0000-0000-0000E4060000}"/>
    <cellStyle name="Normal 3 2 2 3 3 2 5" xfId="2350" xr:uid="{00000000-0005-0000-0000-0000E5060000}"/>
    <cellStyle name="Normal 3 2 2 3 3 3" xfId="905" xr:uid="{00000000-0005-0000-0000-0000E6060000}"/>
    <cellStyle name="Normal 3 2 2 3 3 3 2" xfId="4270" xr:uid="{00000000-0005-0000-0000-0000E7060000}"/>
    <cellStyle name="Normal 3 2 2 3 3 3 3" xfId="3017" xr:uid="{00000000-0005-0000-0000-0000E8060000}"/>
    <cellStyle name="Normal 3 2 2 3 3 4" xfId="1621" xr:uid="{00000000-0005-0000-0000-0000E9060000}"/>
    <cellStyle name="Normal 3 2 2 3 3 4 2" xfId="4986" xr:uid="{00000000-0005-0000-0000-0000EA060000}"/>
    <cellStyle name="Normal 3 2 2 3 3 5" xfId="3600" xr:uid="{00000000-0005-0000-0000-0000EB060000}"/>
    <cellStyle name="Normal 3 2 2 3 3 6" xfId="2349" xr:uid="{00000000-0005-0000-0000-0000EC060000}"/>
    <cellStyle name="Normal 3 2 2 3 4" xfId="382" xr:uid="{00000000-0005-0000-0000-0000ED060000}"/>
    <cellStyle name="Normal 3 2 2 3 4 2" xfId="1055" xr:uid="{00000000-0005-0000-0000-0000EE060000}"/>
    <cellStyle name="Normal 3 2 2 3 4 2 2" xfId="4420" xr:uid="{00000000-0005-0000-0000-0000EF060000}"/>
    <cellStyle name="Normal 3 2 2 3 4 2 3" xfId="3019" xr:uid="{00000000-0005-0000-0000-0000F0060000}"/>
    <cellStyle name="Normal 3 2 2 3 4 3" xfId="1622" xr:uid="{00000000-0005-0000-0000-0000F1060000}"/>
    <cellStyle name="Normal 3 2 2 3 4 3 2" xfId="4987" xr:uid="{00000000-0005-0000-0000-0000F2060000}"/>
    <cellStyle name="Normal 3 2 2 3 4 4" xfId="3750" xr:uid="{00000000-0005-0000-0000-0000F3060000}"/>
    <cellStyle name="Normal 3 2 2 3 4 5" xfId="2351" xr:uid="{00000000-0005-0000-0000-0000F4060000}"/>
    <cellStyle name="Normal 3 2 2 3 5" xfId="755" xr:uid="{00000000-0005-0000-0000-0000F5060000}"/>
    <cellStyle name="Normal 3 2 2 3 5 2" xfId="4120" xr:uid="{00000000-0005-0000-0000-0000F6060000}"/>
    <cellStyle name="Normal 3 2 2 3 5 3" xfId="2824" xr:uid="{00000000-0005-0000-0000-0000F7060000}"/>
    <cellStyle name="Normal 3 2 2 3 6" xfId="1623" xr:uid="{00000000-0005-0000-0000-0000F8060000}"/>
    <cellStyle name="Normal 3 2 2 3 6 2" xfId="4988" xr:uid="{00000000-0005-0000-0000-0000F9060000}"/>
    <cellStyle name="Normal 3 2 2 3 7" xfId="3450" xr:uid="{00000000-0005-0000-0000-0000FA060000}"/>
    <cellStyle name="Normal 3 2 2 3 8" xfId="2156" xr:uid="{00000000-0005-0000-0000-0000FB060000}"/>
    <cellStyle name="Normal 3 2 2 4" xfId="68" xr:uid="{00000000-0005-0000-0000-0000FC060000}"/>
    <cellStyle name="Normal 3 2 2 4 2" xfId="145" xr:uid="{00000000-0005-0000-0000-0000FD060000}"/>
    <cellStyle name="Normal 3 2 2 4 2 2" xfId="295" xr:uid="{00000000-0005-0000-0000-0000FE060000}"/>
    <cellStyle name="Normal 3 2 2 4 2 2 2" xfId="595" xr:uid="{00000000-0005-0000-0000-0000FF060000}"/>
    <cellStyle name="Normal 3 2 2 4 2 2 2 2" xfId="1268" xr:uid="{00000000-0005-0000-0000-000000070000}"/>
    <cellStyle name="Normal 3 2 2 4 2 2 2 2 2" xfId="4633" xr:uid="{00000000-0005-0000-0000-000001070000}"/>
    <cellStyle name="Normal 3 2 2 4 2 2 2 2 3" xfId="3022" xr:uid="{00000000-0005-0000-0000-000002070000}"/>
    <cellStyle name="Normal 3 2 2 4 2 2 2 3" xfId="1624" xr:uid="{00000000-0005-0000-0000-000003070000}"/>
    <cellStyle name="Normal 3 2 2 4 2 2 2 3 2" xfId="4989" xr:uid="{00000000-0005-0000-0000-000004070000}"/>
    <cellStyle name="Normal 3 2 2 4 2 2 2 4" xfId="3963" xr:uid="{00000000-0005-0000-0000-000005070000}"/>
    <cellStyle name="Normal 3 2 2 4 2 2 2 5" xfId="2354" xr:uid="{00000000-0005-0000-0000-000006070000}"/>
    <cellStyle name="Normal 3 2 2 4 2 2 3" xfId="968" xr:uid="{00000000-0005-0000-0000-000007070000}"/>
    <cellStyle name="Normal 3 2 2 4 2 2 3 2" xfId="4333" xr:uid="{00000000-0005-0000-0000-000008070000}"/>
    <cellStyle name="Normal 3 2 2 4 2 2 3 3" xfId="3021" xr:uid="{00000000-0005-0000-0000-000009070000}"/>
    <cellStyle name="Normal 3 2 2 4 2 2 4" xfId="1625" xr:uid="{00000000-0005-0000-0000-00000A070000}"/>
    <cellStyle name="Normal 3 2 2 4 2 2 4 2" xfId="4990" xr:uid="{00000000-0005-0000-0000-00000B070000}"/>
    <cellStyle name="Normal 3 2 2 4 2 2 5" xfId="3663" xr:uid="{00000000-0005-0000-0000-00000C070000}"/>
    <cellStyle name="Normal 3 2 2 4 2 2 6" xfId="2353" xr:uid="{00000000-0005-0000-0000-00000D070000}"/>
    <cellStyle name="Normal 3 2 2 4 2 3" xfId="445" xr:uid="{00000000-0005-0000-0000-00000E070000}"/>
    <cellStyle name="Normal 3 2 2 4 2 3 2" xfId="1118" xr:uid="{00000000-0005-0000-0000-00000F070000}"/>
    <cellStyle name="Normal 3 2 2 4 2 3 2 2" xfId="4483" xr:uid="{00000000-0005-0000-0000-000010070000}"/>
    <cellStyle name="Normal 3 2 2 4 2 3 2 3" xfId="3023" xr:uid="{00000000-0005-0000-0000-000011070000}"/>
    <cellStyle name="Normal 3 2 2 4 2 3 3" xfId="1626" xr:uid="{00000000-0005-0000-0000-000012070000}"/>
    <cellStyle name="Normal 3 2 2 4 2 3 3 2" xfId="4991" xr:uid="{00000000-0005-0000-0000-000013070000}"/>
    <cellStyle name="Normal 3 2 2 4 2 3 4" xfId="3813" xr:uid="{00000000-0005-0000-0000-000014070000}"/>
    <cellStyle name="Normal 3 2 2 4 2 3 5" xfId="2355" xr:uid="{00000000-0005-0000-0000-000015070000}"/>
    <cellStyle name="Normal 3 2 2 4 2 4" xfId="818" xr:uid="{00000000-0005-0000-0000-000016070000}"/>
    <cellStyle name="Normal 3 2 2 4 2 4 2" xfId="4183" xr:uid="{00000000-0005-0000-0000-000017070000}"/>
    <cellStyle name="Normal 3 2 2 4 2 4 3" xfId="3020" xr:uid="{00000000-0005-0000-0000-000018070000}"/>
    <cellStyle name="Normal 3 2 2 4 2 5" xfId="1627" xr:uid="{00000000-0005-0000-0000-000019070000}"/>
    <cellStyle name="Normal 3 2 2 4 2 5 2" xfId="4992" xr:uid="{00000000-0005-0000-0000-00001A070000}"/>
    <cellStyle name="Normal 3 2 2 4 2 6" xfId="3513" xr:uid="{00000000-0005-0000-0000-00001B070000}"/>
    <cellStyle name="Normal 3 2 2 4 2 7" xfId="2352" xr:uid="{00000000-0005-0000-0000-00001C070000}"/>
    <cellStyle name="Normal 3 2 2 4 3" xfId="220" xr:uid="{00000000-0005-0000-0000-00001D070000}"/>
    <cellStyle name="Normal 3 2 2 4 3 2" xfId="520" xr:uid="{00000000-0005-0000-0000-00001E070000}"/>
    <cellStyle name="Normal 3 2 2 4 3 2 2" xfId="1193" xr:uid="{00000000-0005-0000-0000-00001F070000}"/>
    <cellStyle name="Normal 3 2 2 4 3 2 2 2" xfId="4558" xr:uid="{00000000-0005-0000-0000-000020070000}"/>
    <cellStyle name="Normal 3 2 2 4 3 2 2 3" xfId="3025" xr:uid="{00000000-0005-0000-0000-000021070000}"/>
    <cellStyle name="Normal 3 2 2 4 3 2 3" xfId="1628" xr:uid="{00000000-0005-0000-0000-000022070000}"/>
    <cellStyle name="Normal 3 2 2 4 3 2 3 2" xfId="4993" xr:uid="{00000000-0005-0000-0000-000023070000}"/>
    <cellStyle name="Normal 3 2 2 4 3 2 4" xfId="3888" xr:uid="{00000000-0005-0000-0000-000024070000}"/>
    <cellStyle name="Normal 3 2 2 4 3 2 5" xfId="2357" xr:uid="{00000000-0005-0000-0000-000025070000}"/>
    <cellStyle name="Normal 3 2 2 4 3 3" xfId="893" xr:uid="{00000000-0005-0000-0000-000026070000}"/>
    <cellStyle name="Normal 3 2 2 4 3 3 2" xfId="4258" xr:uid="{00000000-0005-0000-0000-000027070000}"/>
    <cellStyle name="Normal 3 2 2 4 3 3 3" xfId="3024" xr:uid="{00000000-0005-0000-0000-000028070000}"/>
    <cellStyle name="Normal 3 2 2 4 3 4" xfId="1629" xr:uid="{00000000-0005-0000-0000-000029070000}"/>
    <cellStyle name="Normal 3 2 2 4 3 4 2" xfId="4994" xr:uid="{00000000-0005-0000-0000-00002A070000}"/>
    <cellStyle name="Normal 3 2 2 4 3 5" xfId="3588" xr:uid="{00000000-0005-0000-0000-00002B070000}"/>
    <cellStyle name="Normal 3 2 2 4 3 6" xfId="2356" xr:uid="{00000000-0005-0000-0000-00002C070000}"/>
    <cellStyle name="Normal 3 2 2 4 4" xfId="370" xr:uid="{00000000-0005-0000-0000-00002D070000}"/>
    <cellStyle name="Normal 3 2 2 4 4 2" xfId="1043" xr:uid="{00000000-0005-0000-0000-00002E070000}"/>
    <cellStyle name="Normal 3 2 2 4 4 2 2" xfId="4408" xr:uid="{00000000-0005-0000-0000-00002F070000}"/>
    <cellStyle name="Normal 3 2 2 4 4 2 3" xfId="3026" xr:uid="{00000000-0005-0000-0000-000030070000}"/>
    <cellStyle name="Normal 3 2 2 4 4 3" xfId="1630" xr:uid="{00000000-0005-0000-0000-000031070000}"/>
    <cellStyle name="Normal 3 2 2 4 4 3 2" xfId="4995" xr:uid="{00000000-0005-0000-0000-000032070000}"/>
    <cellStyle name="Normal 3 2 2 4 4 4" xfId="3738" xr:uid="{00000000-0005-0000-0000-000033070000}"/>
    <cellStyle name="Normal 3 2 2 4 4 5" xfId="2358" xr:uid="{00000000-0005-0000-0000-000034070000}"/>
    <cellStyle name="Normal 3 2 2 4 5" xfId="743" xr:uid="{00000000-0005-0000-0000-000035070000}"/>
    <cellStyle name="Normal 3 2 2 4 5 2" xfId="4108" xr:uid="{00000000-0005-0000-0000-000036070000}"/>
    <cellStyle name="Normal 3 2 2 4 5 3" xfId="2825" xr:uid="{00000000-0005-0000-0000-000037070000}"/>
    <cellStyle name="Normal 3 2 2 4 6" xfId="1631" xr:uid="{00000000-0005-0000-0000-000038070000}"/>
    <cellStyle name="Normal 3 2 2 4 6 2" xfId="4996" xr:uid="{00000000-0005-0000-0000-000039070000}"/>
    <cellStyle name="Normal 3 2 2 4 7" xfId="3438" xr:uid="{00000000-0005-0000-0000-00003A070000}"/>
    <cellStyle name="Normal 3 2 2 4 8" xfId="2157" xr:uid="{00000000-0005-0000-0000-00003B070000}"/>
    <cellStyle name="Normal 3 2 2 5" xfId="138" xr:uid="{00000000-0005-0000-0000-00003C070000}"/>
    <cellStyle name="Normal 3 2 2 5 2" xfId="288" xr:uid="{00000000-0005-0000-0000-00003D070000}"/>
    <cellStyle name="Normal 3 2 2 5 2 2" xfId="588" xr:uid="{00000000-0005-0000-0000-00003E070000}"/>
    <cellStyle name="Normal 3 2 2 5 2 2 2" xfId="1261" xr:uid="{00000000-0005-0000-0000-00003F070000}"/>
    <cellStyle name="Normal 3 2 2 5 2 2 2 2" xfId="4626" xr:uid="{00000000-0005-0000-0000-000040070000}"/>
    <cellStyle name="Normal 3 2 2 5 2 2 2 3" xfId="3029" xr:uid="{00000000-0005-0000-0000-000041070000}"/>
    <cellStyle name="Normal 3 2 2 5 2 2 3" xfId="1632" xr:uid="{00000000-0005-0000-0000-000042070000}"/>
    <cellStyle name="Normal 3 2 2 5 2 2 3 2" xfId="4997" xr:uid="{00000000-0005-0000-0000-000043070000}"/>
    <cellStyle name="Normal 3 2 2 5 2 2 4" xfId="3956" xr:uid="{00000000-0005-0000-0000-000044070000}"/>
    <cellStyle name="Normal 3 2 2 5 2 2 5" xfId="2361" xr:uid="{00000000-0005-0000-0000-000045070000}"/>
    <cellStyle name="Normal 3 2 2 5 2 3" xfId="961" xr:uid="{00000000-0005-0000-0000-000046070000}"/>
    <cellStyle name="Normal 3 2 2 5 2 3 2" xfId="4326" xr:uid="{00000000-0005-0000-0000-000047070000}"/>
    <cellStyle name="Normal 3 2 2 5 2 3 3" xfId="3028" xr:uid="{00000000-0005-0000-0000-000048070000}"/>
    <cellStyle name="Normal 3 2 2 5 2 4" xfId="1633" xr:uid="{00000000-0005-0000-0000-000049070000}"/>
    <cellStyle name="Normal 3 2 2 5 2 4 2" xfId="4998" xr:uid="{00000000-0005-0000-0000-00004A070000}"/>
    <cellStyle name="Normal 3 2 2 5 2 5" xfId="3656" xr:uid="{00000000-0005-0000-0000-00004B070000}"/>
    <cellStyle name="Normal 3 2 2 5 2 6" xfId="2360" xr:uid="{00000000-0005-0000-0000-00004C070000}"/>
    <cellStyle name="Normal 3 2 2 5 3" xfId="438" xr:uid="{00000000-0005-0000-0000-00004D070000}"/>
    <cellStyle name="Normal 3 2 2 5 3 2" xfId="1111" xr:uid="{00000000-0005-0000-0000-00004E070000}"/>
    <cellStyle name="Normal 3 2 2 5 3 2 2" xfId="4476" xr:uid="{00000000-0005-0000-0000-00004F070000}"/>
    <cellStyle name="Normal 3 2 2 5 3 2 3" xfId="3030" xr:uid="{00000000-0005-0000-0000-000050070000}"/>
    <cellStyle name="Normal 3 2 2 5 3 3" xfId="1634" xr:uid="{00000000-0005-0000-0000-000051070000}"/>
    <cellStyle name="Normal 3 2 2 5 3 3 2" xfId="4999" xr:uid="{00000000-0005-0000-0000-000052070000}"/>
    <cellStyle name="Normal 3 2 2 5 3 4" xfId="3806" xr:uid="{00000000-0005-0000-0000-000053070000}"/>
    <cellStyle name="Normal 3 2 2 5 3 5" xfId="2362" xr:uid="{00000000-0005-0000-0000-000054070000}"/>
    <cellStyle name="Normal 3 2 2 5 4" xfId="811" xr:uid="{00000000-0005-0000-0000-000055070000}"/>
    <cellStyle name="Normal 3 2 2 5 4 2" xfId="4176" xr:uid="{00000000-0005-0000-0000-000056070000}"/>
    <cellStyle name="Normal 3 2 2 5 4 3" xfId="3027" xr:uid="{00000000-0005-0000-0000-000057070000}"/>
    <cellStyle name="Normal 3 2 2 5 5" xfId="1635" xr:uid="{00000000-0005-0000-0000-000058070000}"/>
    <cellStyle name="Normal 3 2 2 5 5 2" xfId="5000" xr:uid="{00000000-0005-0000-0000-000059070000}"/>
    <cellStyle name="Normal 3 2 2 5 6" xfId="3506" xr:uid="{00000000-0005-0000-0000-00005A070000}"/>
    <cellStyle name="Normal 3 2 2 5 7" xfId="2359" xr:uid="{00000000-0005-0000-0000-00005B070000}"/>
    <cellStyle name="Normal 3 2 2 6" xfId="213" xr:uid="{00000000-0005-0000-0000-00005C070000}"/>
    <cellStyle name="Normal 3 2 2 6 2" xfId="513" xr:uid="{00000000-0005-0000-0000-00005D070000}"/>
    <cellStyle name="Normal 3 2 2 6 2 2" xfId="1186" xr:uid="{00000000-0005-0000-0000-00005E070000}"/>
    <cellStyle name="Normal 3 2 2 6 2 2 2" xfId="4551" xr:uid="{00000000-0005-0000-0000-00005F070000}"/>
    <cellStyle name="Normal 3 2 2 6 2 2 3" xfId="3032" xr:uid="{00000000-0005-0000-0000-000060070000}"/>
    <cellStyle name="Normal 3 2 2 6 2 3" xfId="1636" xr:uid="{00000000-0005-0000-0000-000061070000}"/>
    <cellStyle name="Normal 3 2 2 6 2 3 2" xfId="5001" xr:uid="{00000000-0005-0000-0000-000062070000}"/>
    <cellStyle name="Normal 3 2 2 6 2 4" xfId="3881" xr:uid="{00000000-0005-0000-0000-000063070000}"/>
    <cellStyle name="Normal 3 2 2 6 2 5" xfId="2364" xr:uid="{00000000-0005-0000-0000-000064070000}"/>
    <cellStyle name="Normal 3 2 2 6 3" xfId="886" xr:uid="{00000000-0005-0000-0000-000065070000}"/>
    <cellStyle name="Normal 3 2 2 6 3 2" xfId="4251" xr:uid="{00000000-0005-0000-0000-000066070000}"/>
    <cellStyle name="Normal 3 2 2 6 3 3" xfId="3031" xr:uid="{00000000-0005-0000-0000-000067070000}"/>
    <cellStyle name="Normal 3 2 2 6 4" xfId="1637" xr:uid="{00000000-0005-0000-0000-000068070000}"/>
    <cellStyle name="Normal 3 2 2 6 4 2" xfId="5002" xr:uid="{00000000-0005-0000-0000-000069070000}"/>
    <cellStyle name="Normal 3 2 2 6 5" xfId="3581" xr:uid="{00000000-0005-0000-0000-00006A070000}"/>
    <cellStyle name="Normal 3 2 2 6 6" xfId="2363" xr:uid="{00000000-0005-0000-0000-00006B070000}"/>
    <cellStyle name="Normal 3 2 2 7" xfId="363" xr:uid="{00000000-0005-0000-0000-00006C070000}"/>
    <cellStyle name="Normal 3 2 2 7 2" xfId="1036" xr:uid="{00000000-0005-0000-0000-00006D070000}"/>
    <cellStyle name="Normal 3 2 2 7 2 2" xfId="4401" xr:uid="{00000000-0005-0000-0000-00006E070000}"/>
    <cellStyle name="Normal 3 2 2 7 2 3" xfId="3033" xr:uid="{00000000-0005-0000-0000-00006F070000}"/>
    <cellStyle name="Normal 3 2 2 7 3" xfId="1638" xr:uid="{00000000-0005-0000-0000-000070070000}"/>
    <cellStyle name="Normal 3 2 2 7 3 2" xfId="5003" xr:uid="{00000000-0005-0000-0000-000071070000}"/>
    <cellStyle name="Normal 3 2 2 7 4" xfId="3731" xr:uid="{00000000-0005-0000-0000-000072070000}"/>
    <cellStyle name="Normal 3 2 2 7 5" xfId="2365" xr:uid="{00000000-0005-0000-0000-000073070000}"/>
    <cellStyle name="Normal 3 2 2 8" xfId="668" xr:uid="{00000000-0005-0000-0000-000074070000}"/>
    <cellStyle name="Normal 3 2 2 8 2" xfId="1341" xr:uid="{00000000-0005-0000-0000-000075070000}"/>
    <cellStyle name="Normal 3 2 2 8 2 2" xfId="4706" xr:uid="{00000000-0005-0000-0000-000076070000}"/>
    <cellStyle name="Normal 3 2 2 8 2 3" xfId="3034" xr:uid="{00000000-0005-0000-0000-000077070000}"/>
    <cellStyle name="Normal 3 2 2 8 3" xfId="1639" xr:uid="{00000000-0005-0000-0000-000078070000}"/>
    <cellStyle name="Normal 3 2 2 8 3 2" xfId="5004" xr:uid="{00000000-0005-0000-0000-000079070000}"/>
    <cellStyle name="Normal 3 2 2 8 4" xfId="4036" xr:uid="{00000000-0005-0000-0000-00007A070000}"/>
    <cellStyle name="Normal 3 2 2 8 5" xfId="2366" xr:uid="{00000000-0005-0000-0000-00007B070000}"/>
    <cellStyle name="Normal 3 2 2 9" xfId="736" xr:uid="{00000000-0005-0000-0000-00007C070000}"/>
    <cellStyle name="Normal 3 2 2 9 2" xfId="4101" xr:uid="{00000000-0005-0000-0000-00007D070000}"/>
    <cellStyle name="Normal 3 2 2 9 3" xfId="2764" xr:uid="{00000000-0005-0000-0000-00007E070000}"/>
    <cellStyle name="Normal 3 2 3" xfId="85" xr:uid="{00000000-0005-0000-0000-00007F070000}"/>
    <cellStyle name="Normal 3 2 3 10" xfId="2101" xr:uid="{00000000-0005-0000-0000-000080070000}"/>
    <cellStyle name="Normal 3 2 3 2" xfId="112" xr:uid="{00000000-0005-0000-0000-000081070000}"/>
    <cellStyle name="Normal 3 2 3 2 2" xfId="187" xr:uid="{00000000-0005-0000-0000-000082070000}"/>
    <cellStyle name="Normal 3 2 3 2 2 2" xfId="337" xr:uid="{00000000-0005-0000-0000-000083070000}"/>
    <cellStyle name="Normal 3 2 3 2 2 2 2" xfId="637" xr:uid="{00000000-0005-0000-0000-000084070000}"/>
    <cellStyle name="Normal 3 2 3 2 2 2 2 2" xfId="1310" xr:uid="{00000000-0005-0000-0000-000085070000}"/>
    <cellStyle name="Normal 3 2 3 2 2 2 2 2 2" xfId="4675" xr:uid="{00000000-0005-0000-0000-000086070000}"/>
    <cellStyle name="Normal 3 2 3 2 2 2 2 2 3" xfId="3037" xr:uid="{00000000-0005-0000-0000-000087070000}"/>
    <cellStyle name="Normal 3 2 3 2 2 2 2 3" xfId="1640" xr:uid="{00000000-0005-0000-0000-000088070000}"/>
    <cellStyle name="Normal 3 2 3 2 2 2 2 3 2" xfId="5005" xr:uid="{00000000-0005-0000-0000-000089070000}"/>
    <cellStyle name="Normal 3 2 3 2 2 2 2 4" xfId="4005" xr:uid="{00000000-0005-0000-0000-00008A070000}"/>
    <cellStyle name="Normal 3 2 3 2 2 2 2 5" xfId="2369" xr:uid="{00000000-0005-0000-0000-00008B070000}"/>
    <cellStyle name="Normal 3 2 3 2 2 2 3" xfId="1010" xr:uid="{00000000-0005-0000-0000-00008C070000}"/>
    <cellStyle name="Normal 3 2 3 2 2 2 3 2" xfId="4375" xr:uid="{00000000-0005-0000-0000-00008D070000}"/>
    <cellStyle name="Normal 3 2 3 2 2 2 3 3" xfId="3036" xr:uid="{00000000-0005-0000-0000-00008E070000}"/>
    <cellStyle name="Normal 3 2 3 2 2 2 4" xfId="1641" xr:uid="{00000000-0005-0000-0000-00008F070000}"/>
    <cellStyle name="Normal 3 2 3 2 2 2 4 2" xfId="5006" xr:uid="{00000000-0005-0000-0000-000090070000}"/>
    <cellStyle name="Normal 3 2 3 2 2 2 5" xfId="3705" xr:uid="{00000000-0005-0000-0000-000091070000}"/>
    <cellStyle name="Normal 3 2 3 2 2 2 6" xfId="2368" xr:uid="{00000000-0005-0000-0000-000092070000}"/>
    <cellStyle name="Normal 3 2 3 2 2 3" xfId="487" xr:uid="{00000000-0005-0000-0000-000093070000}"/>
    <cellStyle name="Normal 3 2 3 2 2 3 2" xfId="1160" xr:uid="{00000000-0005-0000-0000-000094070000}"/>
    <cellStyle name="Normal 3 2 3 2 2 3 2 2" xfId="4525" xr:uid="{00000000-0005-0000-0000-000095070000}"/>
    <cellStyle name="Normal 3 2 3 2 2 3 2 3" xfId="3038" xr:uid="{00000000-0005-0000-0000-000096070000}"/>
    <cellStyle name="Normal 3 2 3 2 2 3 3" xfId="1642" xr:uid="{00000000-0005-0000-0000-000097070000}"/>
    <cellStyle name="Normal 3 2 3 2 2 3 3 2" xfId="5007" xr:uid="{00000000-0005-0000-0000-000098070000}"/>
    <cellStyle name="Normal 3 2 3 2 2 3 4" xfId="3855" xr:uid="{00000000-0005-0000-0000-000099070000}"/>
    <cellStyle name="Normal 3 2 3 2 2 3 5" xfId="2370" xr:uid="{00000000-0005-0000-0000-00009A070000}"/>
    <cellStyle name="Normal 3 2 3 2 2 4" xfId="860" xr:uid="{00000000-0005-0000-0000-00009B070000}"/>
    <cellStyle name="Normal 3 2 3 2 2 4 2" xfId="4225" xr:uid="{00000000-0005-0000-0000-00009C070000}"/>
    <cellStyle name="Normal 3 2 3 2 2 4 3" xfId="3035" xr:uid="{00000000-0005-0000-0000-00009D070000}"/>
    <cellStyle name="Normal 3 2 3 2 2 5" xfId="1643" xr:uid="{00000000-0005-0000-0000-00009E070000}"/>
    <cellStyle name="Normal 3 2 3 2 2 5 2" xfId="5008" xr:uid="{00000000-0005-0000-0000-00009F070000}"/>
    <cellStyle name="Normal 3 2 3 2 2 6" xfId="3555" xr:uid="{00000000-0005-0000-0000-0000A0070000}"/>
    <cellStyle name="Normal 3 2 3 2 2 7" xfId="2367" xr:uid="{00000000-0005-0000-0000-0000A1070000}"/>
    <cellStyle name="Normal 3 2 3 2 3" xfId="262" xr:uid="{00000000-0005-0000-0000-0000A2070000}"/>
    <cellStyle name="Normal 3 2 3 2 3 2" xfId="562" xr:uid="{00000000-0005-0000-0000-0000A3070000}"/>
    <cellStyle name="Normal 3 2 3 2 3 2 2" xfId="1235" xr:uid="{00000000-0005-0000-0000-0000A4070000}"/>
    <cellStyle name="Normal 3 2 3 2 3 2 2 2" xfId="4600" xr:uid="{00000000-0005-0000-0000-0000A5070000}"/>
    <cellStyle name="Normal 3 2 3 2 3 2 2 3" xfId="3040" xr:uid="{00000000-0005-0000-0000-0000A6070000}"/>
    <cellStyle name="Normal 3 2 3 2 3 2 3" xfId="1644" xr:uid="{00000000-0005-0000-0000-0000A7070000}"/>
    <cellStyle name="Normal 3 2 3 2 3 2 3 2" xfId="5009" xr:uid="{00000000-0005-0000-0000-0000A8070000}"/>
    <cellStyle name="Normal 3 2 3 2 3 2 4" xfId="3930" xr:uid="{00000000-0005-0000-0000-0000A9070000}"/>
    <cellStyle name="Normal 3 2 3 2 3 2 5" xfId="2372" xr:uid="{00000000-0005-0000-0000-0000AA070000}"/>
    <cellStyle name="Normal 3 2 3 2 3 3" xfId="935" xr:uid="{00000000-0005-0000-0000-0000AB070000}"/>
    <cellStyle name="Normal 3 2 3 2 3 3 2" xfId="4300" xr:uid="{00000000-0005-0000-0000-0000AC070000}"/>
    <cellStyle name="Normal 3 2 3 2 3 3 3" xfId="3039" xr:uid="{00000000-0005-0000-0000-0000AD070000}"/>
    <cellStyle name="Normal 3 2 3 2 3 4" xfId="1645" xr:uid="{00000000-0005-0000-0000-0000AE070000}"/>
    <cellStyle name="Normal 3 2 3 2 3 4 2" xfId="5010" xr:uid="{00000000-0005-0000-0000-0000AF070000}"/>
    <cellStyle name="Normal 3 2 3 2 3 5" xfId="3630" xr:uid="{00000000-0005-0000-0000-0000B0070000}"/>
    <cellStyle name="Normal 3 2 3 2 3 6" xfId="2371" xr:uid="{00000000-0005-0000-0000-0000B1070000}"/>
    <cellStyle name="Normal 3 2 3 2 4" xfId="412" xr:uid="{00000000-0005-0000-0000-0000B2070000}"/>
    <cellStyle name="Normal 3 2 3 2 4 2" xfId="1085" xr:uid="{00000000-0005-0000-0000-0000B3070000}"/>
    <cellStyle name="Normal 3 2 3 2 4 2 2" xfId="4450" xr:uid="{00000000-0005-0000-0000-0000B4070000}"/>
    <cellStyle name="Normal 3 2 3 2 4 2 3" xfId="3041" xr:uid="{00000000-0005-0000-0000-0000B5070000}"/>
    <cellStyle name="Normal 3 2 3 2 4 3" xfId="1646" xr:uid="{00000000-0005-0000-0000-0000B6070000}"/>
    <cellStyle name="Normal 3 2 3 2 4 3 2" xfId="5011" xr:uid="{00000000-0005-0000-0000-0000B7070000}"/>
    <cellStyle name="Normal 3 2 3 2 4 4" xfId="3780" xr:uid="{00000000-0005-0000-0000-0000B8070000}"/>
    <cellStyle name="Normal 3 2 3 2 4 5" xfId="2373" xr:uid="{00000000-0005-0000-0000-0000B9070000}"/>
    <cellStyle name="Normal 3 2 3 2 5" xfId="698" xr:uid="{00000000-0005-0000-0000-0000BA070000}"/>
    <cellStyle name="Normal 3 2 3 2 5 2" xfId="1371" xr:uid="{00000000-0005-0000-0000-0000BB070000}"/>
    <cellStyle name="Normal 3 2 3 2 5 2 2" xfId="4736" xr:uid="{00000000-0005-0000-0000-0000BC070000}"/>
    <cellStyle name="Normal 3 2 3 2 5 2 3" xfId="3042" xr:uid="{00000000-0005-0000-0000-0000BD070000}"/>
    <cellStyle name="Normal 3 2 3 2 5 3" xfId="1647" xr:uid="{00000000-0005-0000-0000-0000BE070000}"/>
    <cellStyle name="Normal 3 2 3 2 5 3 2" xfId="5012" xr:uid="{00000000-0005-0000-0000-0000BF070000}"/>
    <cellStyle name="Normal 3 2 3 2 5 4" xfId="4066" xr:uid="{00000000-0005-0000-0000-0000C0070000}"/>
    <cellStyle name="Normal 3 2 3 2 5 5" xfId="2374" xr:uid="{00000000-0005-0000-0000-0000C1070000}"/>
    <cellStyle name="Normal 3 2 3 2 6" xfId="785" xr:uid="{00000000-0005-0000-0000-0000C2070000}"/>
    <cellStyle name="Normal 3 2 3 2 6 2" xfId="4150" xr:uid="{00000000-0005-0000-0000-0000C3070000}"/>
    <cellStyle name="Normal 3 2 3 2 6 3" xfId="2798" xr:uid="{00000000-0005-0000-0000-0000C4070000}"/>
    <cellStyle name="Normal 3 2 3 2 7" xfId="1648" xr:uid="{00000000-0005-0000-0000-0000C5070000}"/>
    <cellStyle name="Normal 3 2 3 2 7 2" xfId="5013" xr:uid="{00000000-0005-0000-0000-0000C6070000}"/>
    <cellStyle name="Normal 3 2 3 2 8" xfId="3480" xr:uid="{00000000-0005-0000-0000-0000C7070000}"/>
    <cellStyle name="Normal 3 2 3 2 9" xfId="2127" xr:uid="{00000000-0005-0000-0000-0000C8070000}"/>
    <cellStyle name="Normal 3 2 3 3" xfId="161" xr:uid="{00000000-0005-0000-0000-0000C9070000}"/>
    <cellStyle name="Normal 3 2 3 3 2" xfId="311" xr:uid="{00000000-0005-0000-0000-0000CA070000}"/>
    <cellStyle name="Normal 3 2 3 3 2 2" xfId="611" xr:uid="{00000000-0005-0000-0000-0000CB070000}"/>
    <cellStyle name="Normal 3 2 3 3 2 2 2" xfId="1284" xr:uid="{00000000-0005-0000-0000-0000CC070000}"/>
    <cellStyle name="Normal 3 2 3 3 2 2 2 2" xfId="4649" xr:uid="{00000000-0005-0000-0000-0000CD070000}"/>
    <cellStyle name="Normal 3 2 3 3 2 2 2 3" xfId="3045" xr:uid="{00000000-0005-0000-0000-0000CE070000}"/>
    <cellStyle name="Normal 3 2 3 3 2 2 3" xfId="1649" xr:uid="{00000000-0005-0000-0000-0000CF070000}"/>
    <cellStyle name="Normal 3 2 3 3 2 2 3 2" xfId="5014" xr:uid="{00000000-0005-0000-0000-0000D0070000}"/>
    <cellStyle name="Normal 3 2 3 3 2 2 4" xfId="3979" xr:uid="{00000000-0005-0000-0000-0000D1070000}"/>
    <cellStyle name="Normal 3 2 3 3 2 2 5" xfId="2377" xr:uid="{00000000-0005-0000-0000-0000D2070000}"/>
    <cellStyle name="Normal 3 2 3 3 2 3" xfId="984" xr:uid="{00000000-0005-0000-0000-0000D3070000}"/>
    <cellStyle name="Normal 3 2 3 3 2 3 2" xfId="4349" xr:uid="{00000000-0005-0000-0000-0000D4070000}"/>
    <cellStyle name="Normal 3 2 3 3 2 3 3" xfId="3044" xr:uid="{00000000-0005-0000-0000-0000D5070000}"/>
    <cellStyle name="Normal 3 2 3 3 2 4" xfId="1650" xr:uid="{00000000-0005-0000-0000-0000D6070000}"/>
    <cellStyle name="Normal 3 2 3 3 2 4 2" xfId="5015" xr:uid="{00000000-0005-0000-0000-0000D7070000}"/>
    <cellStyle name="Normal 3 2 3 3 2 5" xfId="3679" xr:uid="{00000000-0005-0000-0000-0000D8070000}"/>
    <cellStyle name="Normal 3 2 3 3 2 6" xfId="2376" xr:uid="{00000000-0005-0000-0000-0000D9070000}"/>
    <cellStyle name="Normal 3 2 3 3 3" xfId="461" xr:uid="{00000000-0005-0000-0000-0000DA070000}"/>
    <cellStyle name="Normal 3 2 3 3 3 2" xfId="1134" xr:uid="{00000000-0005-0000-0000-0000DB070000}"/>
    <cellStyle name="Normal 3 2 3 3 3 2 2" xfId="4499" xr:uid="{00000000-0005-0000-0000-0000DC070000}"/>
    <cellStyle name="Normal 3 2 3 3 3 2 3" xfId="3046" xr:uid="{00000000-0005-0000-0000-0000DD070000}"/>
    <cellStyle name="Normal 3 2 3 3 3 3" xfId="1651" xr:uid="{00000000-0005-0000-0000-0000DE070000}"/>
    <cellStyle name="Normal 3 2 3 3 3 3 2" xfId="5016" xr:uid="{00000000-0005-0000-0000-0000DF070000}"/>
    <cellStyle name="Normal 3 2 3 3 3 4" xfId="3829" xr:uid="{00000000-0005-0000-0000-0000E0070000}"/>
    <cellStyle name="Normal 3 2 3 3 3 5" xfId="2378" xr:uid="{00000000-0005-0000-0000-0000E1070000}"/>
    <cellStyle name="Normal 3 2 3 3 4" xfId="834" xr:uid="{00000000-0005-0000-0000-0000E2070000}"/>
    <cellStyle name="Normal 3 2 3 3 4 2" xfId="4199" xr:uid="{00000000-0005-0000-0000-0000E3070000}"/>
    <cellStyle name="Normal 3 2 3 3 4 3" xfId="3043" xr:uid="{00000000-0005-0000-0000-0000E4070000}"/>
    <cellStyle name="Normal 3 2 3 3 5" xfId="1652" xr:uid="{00000000-0005-0000-0000-0000E5070000}"/>
    <cellStyle name="Normal 3 2 3 3 5 2" xfId="5017" xr:uid="{00000000-0005-0000-0000-0000E6070000}"/>
    <cellStyle name="Normal 3 2 3 3 6" xfId="3529" xr:uid="{00000000-0005-0000-0000-0000E7070000}"/>
    <cellStyle name="Normal 3 2 3 3 7" xfId="2375" xr:uid="{00000000-0005-0000-0000-0000E8070000}"/>
    <cellStyle name="Normal 3 2 3 4" xfId="236" xr:uid="{00000000-0005-0000-0000-0000E9070000}"/>
    <cellStyle name="Normal 3 2 3 4 2" xfId="536" xr:uid="{00000000-0005-0000-0000-0000EA070000}"/>
    <cellStyle name="Normal 3 2 3 4 2 2" xfId="1209" xr:uid="{00000000-0005-0000-0000-0000EB070000}"/>
    <cellStyle name="Normal 3 2 3 4 2 2 2" xfId="4574" xr:uid="{00000000-0005-0000-0000-0000EC070000}"/>
    <cellStyle name="Normal 3 2 3 4 2 2 3" xfId="3048" xr:uid="{00000000-0005-0000-0000-0000ED070000}"/>
    <cellStyle name="Normal 3 2 3 4 2 3" xfId="1653" xr:uid="{00000000-0005-0000-0000-0000EE070000}"/>
    <cellStyle name="Normal 3 2 3 4 2 3 2" xfId="5018" xr:uid="{00000000-0005-0000-0000-0000EF070000}"/>
    <cellStyle name="Normal 3 2 3 4 2 4" xfId="3904" xr:uid="{00000000-0005-0000-0000-0000F0070000}"/>
    <cellStyle name="Normal 3 2 3 4 2 5" xfId="2380" xr:uid="{00000000-0005-0000-0000-0000F1070000}"/>
    <cellStyle name="Normal 3 2 3 4 3" xfId="909" xr:uid="{00000000-0005-0000-0000-0000F2070000}"/>
    <cellStyle name="Normal 3 2 3 4 3 2" xfId="4274" xr:uid="{00000000-0005-0000-0000-0000F3070000}"/>
    <cellStyle name="Normal 3 2 3 4 3 3" xfId="3047" xr:uid="{00000000-0005-0000-0000-0000F4070000}"/>
    <cellStyle name="Normal 3 2 3 4 4" xfId="1654" xr:uid="{00000000-0005-0000-0000-0000F5070000}"/>
    <cellStyle name="Normal 3 2 3 4 4 2" xfId="5019" xr:uid="{00000000-0005-0000-0000-0000F6070000}"/>
    <cellStyle name="Normal 3 2 3 4 5" xfId="3604" xr:uid="{00000000-0005-0000-0000-0000F7070000}"/>
    <cellStyle name="Normal 3 2 3 4 6" xfId="2379" xr:uid="{00000000-0005-0000-0000-0000F8070000}"/>
    <cellStyle name="Normal 3 2 3 5" xfId="386" xr:uid="{00000000-0005-0000-0000-0000F9070000}"/>
    <cellStyle name="Normal 3 2 3 5 2" xfId="1059" xr:uid="{00000000-0005-0000-0000-0000FA070000}"/>
    <cellStyle name="Normal 3 2 3 5 2 2" xfId="4424" xr:uid="{00000000-0005-0000-0000-0000FB070000}"/>
    <cellStyle name="Normal 3 2 3 5 2 3" xfId="3049" xr:uid="{00000000-0005-0000-0000-0000FC070000}"/>
    <cellStyle name="Normal 3 2 3 5 3" xfId="1655" xr:uid="{00000000-0005-0000-0000-0000FD070000}"/>
    <cellStyle name="Normal 3 2 3 5 3 2" xfId="5020" xr:uid="{00000000-0005-0000-0000-0000FE070000}"/>
    <cellStyle name="Normal 3 2 3 5 4" xfId="3754" xr:uid="{00000000-0005-0000-0000-0000FF070000}"/>
    <cellStyle name="Normal 3 2 3 5 5" xfId="2381" xr:uid="{00000000-0005-0000-0000-000000080000}"/>
    <cellStyle name="Normal 3 2 3 6" xfId="672" xr:uid="{00000000-0005-0000-0000-000001080000}"/>
    <cellStyle name="Normal 3 2 3 6 2" xfId="1345" xr:uid="{00000000-0005-0000-0000-000002080000}"/>
    <cellStyle name="Normal 3 2 3 6 2 2" xfId="4710" xr:uid="{00000000-0005-0000-0000-000003080000}"/>
    <cellStyle name="Normal 3 2 3 6 2 3" xfId="3050" xr:uid="{00000000-0005-0000-0000-000004080000}"/>
    <cellStyle name="Normal 3 2 3 6 3" xfId="1656" xr:uid="{00000000-0005-0000-0000-000005080000}"/>
    <cellStyle name="Normal 3 2 3 6 3 2" xfId="5021" xr:uid="{00000000-0005-0000-0000-000006080000}"/>
    <cellStyle name="Normal 3 2 3 6 4" xfId="4040" xr:uid="{00000000-0005-0000-0000-000007080000}"/>
    <cellStyle name="Normal 3 2 3 6 5" xfId="2382" xr:uid="{00000000-0005-0000-0000-000008080000}"/>
    <cellStyle name="Normal 3 2 3 7" xfId="759" xr:uid="{00000000-0005-0000-0000-000009080000}"/>
    <cellStyle name="Normal 3 2 3 7 2" xfId="4124" xr:uid="{00000000-0005-0000-0000-00000A080000}"/>
    <cellStyle name="Normal 3 2 3 7 3" xfId="2772" xr:uid="{00000000-0005-0000-0000-00000B080000}"/>
    <cellStyle name="Normal 3 2 3 8" xfId="1657" xr:uid="{00000000-0005-0000-0000-00000C080000}"/>
    <cellStyle name="Normal 3 2 3 8 2" xfId="5022" xr:uid="{00000000-0005-0000-0000-00000D080000}"/>
    <cellStyle name="Normal 3 2 3 9" xfId="3454" xr:uid="{00000000-0005-0000-0000-00000E080000}"/>
    <cellStyle name="Normal 3 2 4" xfId="95" xr:uid="{00000000-0005-0000-0000-00000F080000}"/>
    <cellStyle name="Normal 3 2 4 10" xfId="2110" xr:uid="{00000000-0005-0000-0000-000010080000}"/>
    <cellStyle name="Normal 3 2 4 2" xfId="121" xr:uid="{00000000-0005-0000-0000-000011080000}"/>
    <cellStyle name="Normal 3 2 4 2 2" xfId="196" xr:uid="{00000000-0005-0000-0000-000012080000}"/>
    <cellStyle name="Normal 3 2 4 2 2 2" xfId="346" xr:uid="{00000000-0005-0000-0000-000013080000}"/>
    <cellStyle name="Normal 3 2 4 2 2 2 2" xfId="646" xr:uid="{00000000-0005-0000-0000-000014080000}"/>
    <cellStyle name="Normal 3 2 4 2 2 2 2 2" xfId="1319" xr:uid="{00000000-0005-0000-0000-000015080000}"/>
    <cellStyle name="Normal 3 2 4 2 2 2 2 2 2" xfId="4684" xr:uid="{00000000-0005-0000-0000-000016080000}"/>
    <cellStyle name="Normal 3 2 4 2 2 2 2 2 3" xfId="3053" xr:uid="{00000000-0005-0000-0000-000017080000}"/>
    <cellStyle name="Normal 3 2 4 2 2 2 2 3" xfId="1658" xr:uid="{00000000-0005-0000-0000-000018080000}"/>
    <cellStyle name="Normal 3 2 4 2 2 2 2 3 2" xfId="5023" xr:uid="{00000000-0005-0000-0000-000019080000}"/>
    <cellStyle name="Normal 3 2 4 2 2 2 2 4" xfId="4014" xr:uid="{00000000-0005-0000-0000-00001A080000}"/>
    <cellStyle name="Normal 3 2 4 2 2 2 2 5" xfId="2385" xr:uid="{00000000-0005-0000-0000-00001B080000}"/>
    <cellStyle name="Normal 3 2 4 2 2 2 3" xfId="1019" xr:uid="{00000000-0005-0000-0000-00001C080000}"/>
    <cellStyle name="Normal 3 2 4 2 2 2 3 2" xfId="4384" xr:uid="{00000000-0005-0000-0000-00001D080000}"/>
    <cellStyle name="Normal 3 2 4 2 2 2 3 3" xfId="3052" xr:uid="{00000000-0005-0000-0000-00001E080000}"/>
    <cellStyle name="Normal 3 2 4 2 2 2 4" xfId="1659" xr:uid="{00000000-0005-0000-0000-00001F080000}"/>
    <cellStyle name="Normal 3 2 4 2 2 2 4 2" xfId="5024" xr:uid="{00000000-0005-0000-0000-000020080000}"/>
    <cellStyle name="Normal 3 2 4 2 2 2 5" xfId="3714" xr:uid="{00000000-0005-0000-0000-000021080000}"/>
    <cellStyle name="Normal 3 2 4 2 2 2 6" xfId="2384" xr:uid="{00000000-0005-0000-0000-000022080000}"/>
    <cellStyle name="Normal 3 2 4 2 2 3" xfId="496" xr:uid="{00000000-0005-0000-0000-000023080000}"/>
    <cellStyle name="Normal 3 2 4 2 2 3 2" xfId="1169" xr:uid="{00000000-0005-0000-0000-000024080000}"/>
    <cellStyle name="Normal 3 2 4 2 2 3 2 2" xfId="4534" xr:uid="{00000000-0005-0000-0000-000025080000}"/>
    <cellStyle name="Normal 3 2 4 2 2 3 2 3" xfId="3054" xr:uid="{00000000-0005-0000-0000-000026080000}"/>
    <cellStyle name="Normal 3 2 4 2 2 3 3" xfId="1660" xr:uid="{00000000-0005-0000-0000-000027080000}"/>
    <cellStyle name="Normal 3 2 4 2 2 3 3 2" xfId="5025" xr:uid="{00000000-0005-0000-0000-000028080000}"/>
    <cellStyle name="Normal 3 2 4 2 2 3 4" xfId="3864" xr:uid="{00000000-0005-0000-0000-000029080000}"/>
    <cellStyle name="Normal 3 2 4 2 2 3 5" xfId="2386" xr:uid="{00000000-0005-0000-0000-00002A080000}"/>
    <cellStyle name="Normal 3 2 4 2 2 4" xfId="869" xr:uid="{00000000-0005-0000-0000-00002B080000}"/>
    <cellStyle name="Normal 3 2 4 2 2 4 2" xfId="4234" xr:uid="{00000000-0005-0000-0000-00002C080000}"/>
    <cellStyle name="Normal 3 2 4 2 2 4 3" xfId="3051" xr:uid="{00000000-0005-0000-0000-00002D080000}"/>
    <cellStyle name="Normal 3 2 4 2 2 5" xfId="1661" xr:uid="{00000000-0005-0000-0000-00002E080000}"/>
    <cellStyle name="Normal 3 2 4 2 2 5 2" xfId="5026" xr:uid="{00000000-0005-0000-0000-00002F080000}"/>
    <cellStyle name="Normal 3 2 4 2 2 6" xfId="3564" xr:uid="{00000000-0005-0000-0000-000030080000}"/>
    <cellStyle name="Normal 3 2 4 2 2 7" xfId="2383" xr:uid="{00000000-0005-0000-0000-000031080000}"/>
    <cellStyle name="Normal 3 2 4 2 3" xfId="271" xr:uid="{00000000-0005-0000-0000-000032080000}"/>
    <cellStyle name="Normal 3 2 4 2 3 2" xfId="571" xr:uid="{00000000-0005-0000-0000-000033080000}"/>
    <cellStyle name="Normal 3 2 4 2 3 2 2" xfId="1244" xr:uid="{00000000-0005-0000-0000-000034080000}"/>
    <cellStyle name="Normal 3 2 4 2 3 2 2 2" xfId="4609" xr:uid="{00000000-0005-0000-0000-000035080000}"/>
    <cellStyle name="Normal 3 2 4 2 3 2 2 3" xfId="3056" xr:uid="{00000000-0005-0000-0000-000036080000}"/>
    <cellStyle name="Normal 3 2 4 2 3 2 3" xfId="1662" xr:uid="{00000000-0005-0000-0000-000037080000}"/>
    <cellStyle name="Normal 3 2 4 2 3 2 3 2" xfId="5027" xr:uid="{00000000-0005-0000-0000-000038080000}"/>
    <cellStyle name="Normal 3 2 4 2 3 2 4" xfId="3939" xr:uid="{00000000-0005-0000-0000-000039080000}"/>
    <cellStyle name="Normal 3 2 4 2 3 2 5" xfId="2388" xr:uid="{00000000-0005-0000-0000-00003A080000}"/>
    <cellStyle name="Normal 3 2 4 2 3 3" xfId="944" xr:uid="{00000000-0005-0000-0000-00003B080000}"/>
    <cellStyle name="Normal 3 2 4 2 3 3 2" xfId="4309" xr:uid="{00000000-0005-0000-0000-00003C080000}"/>
    <cellStyle name="Normal 3 2 4 2 3 3 3" xfId="3055" xr:uid="{00000000-0005-0000-0000-00003D080000}"/>
    <cellStyle name="Normal 3 2 4 2 3 4" xfId="1663" xr:uid="{00000000-0005-0000-0000-00003E080000}"/>
    <cellStyle name="Normal 3 2 4 2 3 4 2" xfId="5028" xr:uid="{00000000-0005-0000-0000-00003F080000}"/>
    <cellStyle name="Normal 3 2 4 2 3 5" xfId="3639" xr:uid="{00000000-0005-0000-0000-000040080000}"/>
    <cellStyle name="Normal 3 2 4 2 3 6" xfId="2387" xr:uid="{00000000-0005-0000-0000-000041080000}"/>
    <cellStyle name="Normal 3 2 4 2 4" xfId="421" xr:uid="{00000000-0005-0000-0000-000042080000}"/>
    <cellStyle name="Normal 3 2 4 2 4 2" xfId="1094" xr:uid="{00000000-0005-0000-0000-000043080000}"/>
    <cellStyle name="Normal 3 2 4 2 4 2 2" xfId="4459" xr:uid="{00000000-0005-0000-0000-000044080000}"/>
    <cellStyle name="Normal 3 2 4 2 4 2 3" xfId="3057" xr:uid="{00000000-0005-0000-0000-000045080000}"/>
    <cellStyle name="Normal 3 2 4 2 4 3" xfId="1664" xr:uid="{00000000-0005-0000-0000-000046080000}"/>
    <cellStyle name="Normal 3 2 4 2 4 3 2" xfId="5029" xr:uid="{00000000-0005-0000-0000-000047080000}"/>
    <cellStyle name="Normal 3 2 4 2 4 4" xfId="3789" xr:uid="{00000000-0005-0000-0000-000048080000}"/>
    <cellStyle name="Normal 3 2 4 2 4 5" xfId="2389" xr:uid="{00000000-0005-0000-0000-000049080000}"/>
    <cellStyle name="Normal 3 2 4 2 5" xfId="707" xr:uid="{00000000-0005-0000-0000-00004A080000}"/>
    <cellStyle name="Normal 3 2 4 2 5 2" xfId="1380" xr:uid="{00000000-0005-0000-0000-00004B080000}"/>
    <cellStyle name="Normal 3 2 4 2 5 2 2" xfId="4745" xr:uid="{00000000-0005-0000-0000-00004C080000}"/>
    <cellStyle name="Normal 3 2 4 2 5 2 3" xfId="3058" xr:uid="{00000000-0005-0000-0000-00004D080000}"/>
    <cellStyle name="Normal 3 2 4 2 5 3" xfId="1665" xr:uid="{00000000-0005-0000-0000-00004E080000}"/>
    <cellStyle name="Normal 3 2 4 2 5 3 2" xfId="5030" xr:uid="{00000000-0005-0000-0000-00004F080000}"/>
    <cellStyle name="Normal 3 2 4 2 5 4" xfId="4075" xr:uid="{00000000-0005-0000-0000-000050080000}"/>
    <cellStyle name="Normal 3 2 4 2 5 5" xfId="2390" xr:uid="{00000000-0005-0000-0000-000051080000}"/>
    <cellStyle name="Normal 3 2 4 2 6" xfId="794" xr:uid="{00000000-0005-0000-0000-000052080000}"/>
    <cellStyle name="Normal 3 2 4 2 6 2" xfId="4159" xr:uid="{00000000-0005-0000-0000-000053080000}"/>
    <cellStyle name="Normal 3 2 4 2 6 3" xfId="2807" xr:uid="{00000000-0005-0000-0000-000054080000}"/>
    <cellStyle name="Normal 3 2 4 2 7" xfId="1666" xr:uid="{00000000-0005-0000-0000-000055080000}"/>
    <cellStyle name="Normal 3 2 4 2 7 2" xfId="5031" xr:uid="{00000000-0005-0000-0000-000056080000}"/>
    <cellStyle name="Normal 3 2 4 2 8" xfId="3489" xr:uid="{00000000-0005-0000-0000-000057080000}"/>
    <cellStyle name="Normal 3 2 4 2 9" xfId="2136" xr:uid="{00000000-0005-0000-0000-000058080000}"/>
    <cellStyle name="Normal 3 2 4 3" xfId="170" xr:uid="{00000000-0005-0000-0000-000059080000}"/>
    <cellStyle name="Normal 3 2 4 3 2" xfId="320" xr:uid="{00000000-0005-0000-0000-00005A080000}"/>
    <cellStyle name="Normal 3 2 4 3 2 2" xfId="620" xr:uid="{00000000-0005-0000-0000-00005B080000}"/>
    <cellStyle name="Normal 3 2 4 3 2 2 2" xfId="1293" xr:uid="{00000000-0005-0000-0000-00005C080000}"/>
    <cellStyle name="Normal 3 2 4 3 2 2 2 2" xfId="4658" xr:uid="{00000000-0005-0000-0000-00005D080000}"/>
    <cellStyle name="Normal 3 2 4 3 2 2 2 3" xfId="3061" xr:uid="{00000000-0005-0000-0000-00005E080000}"/>
    <cellStyle name="Normal 3 2 4 3 2 2 3" xfId="1667" xr:uid="{00000000-0005-0000-0000-00005F080000}"/>
    <cellStyle name="Normal 3 2 4 3 2 2 3 2" xfId="5032" xr:uid="{00000000-0005-0000-0000-000060080000}"/>
    <cellStyle name="Normal 3 2 4 3 2 2 4" xfId="3988" xr:uid="{00000000-0005-0000-0000-000061080000}"/>
    <cellStyle name="Normal 3 2 4 3 2 2 5" xfId="2393" xr:uid="{00000000-0005-0000-0000-000062080000}"/>
    <cellStyle name="Normal 3 2 4 3 2 3" xfId="993" xr:uid="{00000000-0005-0000-0000-000063080000}"/>
    <cellStyle name="Normal 3 2 4 3 2 3 2" xfId="4358" xr:uid="{00000000-0005-0000-0000-000064080000}"/>
    <cellStyle name="Normal 3 2 4 3 2 3 3" xfId="3060" xr:uid="{00000000-0005-0000-0000-000065080000}"/>
    <cellStyle name="Normal 3 2 4 3 2 4" xfId="1668" xr:uid="{00000000-0005-0000-0000-000066080000}"/>
    <cellStyle name="Normal 3 2 4 3 2 4 2" xfId="5033" xr:uid="{00000000-0005-0000-0000-000067080000}"/>
    <cellStyle name="Normal 3 2 4 3 2 5" xfId="3688" xr:uid="{00000000-0005-0000-0000-000068080000}"/>
    <cellStyle name="Normal 3 2 4 3 2 6" xfId="2392" xr:uid="{00000000-0005-0000-0000-000069080000}"/>
    <cellStyle name="Normal 3 2 4 3 3" xfId="470" xr:uid="{00000000-0005-0000-0000-00006A080000}"/>
    <cellStyle name="Normal 3 2 4 3 3 2" xfId="1143" xr:uid="{00000000-0005-0000-0000-00006B080000}"/>
    <cellStyle name="Normal 3 2 4 3 3 2 2" xfId="4508" xr:uid="{00000000-0005-0000-0000-00006C080000}"/>
    <cellStyle name="Normal 3 2 4 3 3 2 3" xfId="3062" xr:uid="{00000000-0005-0000-0000-00006D080000}"/>
    <cellStyle name="Normal 3 2 4 3 3 3" xfId="1669" xr:uid="{00000000-0005-0000-0000-00006E080000}"/>
    <cellStyle name="Normal 3 2 4 3 3 3 2" xfId="5034" xr:uid="{00000000-0005-0000-0000-00006F080000}"/>
    <cellStyle name="Normal 3 2 4 3 3 4" xfId="3838" xr:uid="{00000000-0005-0000-0000-000070080000}"/>
    <cellStyle name="Normal 3 2 4 3 3 5" xfId="2394" xr:uid="{00000000-0005-0000-0000-000071080000}"/>
    <cellStyle name="Normal 3 2 4 3 4" xfId="843" xr:uid="{00000000-0005-0000-0000-000072080000}"/>
    <cellStyle name="Normal 3 2 4 3 4 2" xfId="4208" xr:uid="{00000000-0005-0000-0000-000073080000}"/>
    <cellStyle name="Normal 3 2 4 3 4 3" xfId="3059" xr:uid="{00000000-0005-0000-0000-000074080000}"/>
    <cellStyle name="Normal 3 2 4 3 5" xfId="1670" xr:uid="{00000000-0005-0000-0000-000075080000}"/>
    <cellStyle name="Normal 3 2 4 3 5 2" xfId="5035" xr:uid="{00000000-0005-0000-0000-000076080000}"/>
    <cellStyle name="Normal 3 2 4 3 6" xfId="3538" xr:uid="{00000000-0005-0000-0000-000077080000}"/>
    <cellStyle name="Normal 3 2 4 3 7" xfId="2391" xr:uid="{00000000-0005-0000-0000-000078080000}"/>
    <cellStyle name="Normal 3 2 4 4" xfId="245" xr:uid="{00000000-0005-0000-0000-000079080000}"/>
    <cellStyle name="Normal 3 2 4 4 2" xfId="545" xr:uid="{00000000-0005-0000-0000-00007A080000}"/>
    <cellStyle name="Normal 3 2 4 4 2 2" xfId="1218" xr:uid="{00000000-0005-0000-0000-00007B080000}"/>
    <cellStyle name="Normal 3 2 4 4 2 2 2" xfId="4583" xr:uid="{00000000-0005-0000-0000-00007C080000}"/>
    <cellStyle name="Normal 3 2 4 4 2 2 3" xfId="3064" xr:uid="{00000000-0005-0000-0000-00007D080000}"/>
    <cellStyle name="Normal 3 2 4 4 2 3" xfId="1671" xr:uid="{00000000-0005-0000-0000-00007E080000}"/>
    <cellStyle name="Normal 3 2 4 4 2 3 2" xfId="5036" xr:uid="{00000000-0005-0000-0000-00007F080000}"/>
    <cellStyle name="Normal 3 2 4 4 2 4" xfId="3913" xr:uid="{00000000-0005-0000-0000-000080080000}"/>
    <cellStyle name="Normal 3 2 4 4 2 5" xfId="2396" xr:uid="{00000000-0005-0000-0000-000081080000}"/>
    <cellStyle name="Normal 3 2 4 4 3" xfId="918" xr:uid="{00000000-0005-0000-0000-000082080000}"/>
    <cellStyle name="Normal 3 2 4 4 3 2" xfId="4283" xr:uid="{00000000-0005-0000-0000-000083080000}"/>
    <cellStyle name="Normal 3 2 4 4 3 3" xfId="3063" xr:uid="{00000000-0005-0000-0000-000084080000}"/>
    <cellStyle name="Normal 3 2 4 4 4" xfId="1672" xr:uid="{00000000-0005-0000-0000-000085080000}"/>
    <cellStyle name="Normal 3 2 4 4 4 2" xfId="5037" xr:uid="{00000000-0005-0000-0000-000086080000}"/>
    <cellStyle name="Normal 3 2 4 4 5" xfId="3613" xr:uid="{00000000-0005-0000-0000-000087080000}"/>
    <cellStyle name="Normal 3 2 4 4 6" xfId="2395" xr:uid="{00000000-0005-0000-0000-000088080000}"/>
    <cellStyle name="Normal 3 2 4 5" xfId="395" xr:uid="{00000000-0005-0000-0000-000089080000}"/>
    <cellStyle name="Normal 3 2 4 5 2" xfId="1068" xr:uid="{00000000-0005-0000-0000-00008A080000}"/>
    <cellStyle name="Normal 3 2 4 5 2 2" xfId="4433" xr:uid="{00000000-0005-0000-0000-00008B080000}"/>
    <cellStyle name="Normal 3 2 4 5 2 3" xfId="3065" xr:uid="{00000000-0005-0000-0000-00008C080000}"/>
    <cellStyle name="Normal 3 2 4 5 3" xfId="1673" xr:uid="{00000000-0005-0000-0000-00008D080000}"/>
    <cellStyle name="Normal 3 2 4 5 3 2" xfId="5038" xr:uid="{00000000-0005-0000-0000-00008E080000}"/>
    <cellStyle name="Normal 3 2 4 5 4" xfId="3763" xr:uid="{00000000-0005-0000-0000-00008F080000}"/>
    <cellStyle name="Normal 3 2 4 5 5" xfId="2397" xr:uid="{00000000-0005-0000-0000-000090080000}"/>
    <cellStyle name="Normal 3 2 4 6" xfId="681" xr:uid="{00000000-0005-0000-0000-000091080000}"/>
    <cellStyle name="Normal 3 2 4 6 2" xfId="1354" xr:uid="{00000000-0005-0000-0000-000092080000}"/>
    <cellStyle name="Normal 3 2 4 6 2 2" xfId="4719" xr:uid="{00000000-0005-0000-0000-000093080000}"/>
    <cellStyle name="Normal 3 2 4 6 2 3" xfId="3066" xr:uid="{00000000-0005-0000-0000-000094080000}"/>
    <cellStyle name="Normal 3 2 4 6 3" xfId="1674" xr:uid="{00000000-0005-0000-0000-000095080000}"/>
    <cellStyle name="Normal 3 2 4 6 3 2" xfId="5039" xr:uid="{00000000-0005-0000-0000-000096080000}"/>
    <cellStyle name="Normal 3 2 4 6 4" xfId="4049" xr:uid="{00000000-0005-0000-0000-000097080000}"/>
    <cellStyle name="Normal 3 2 4 6 5" xfId="2398" xr:uid="{00000000-0005-0000-0000-000098080000}"/>
    <cellStyle name="Normal 3 2 4 7" xfId="768" xr:uid="{00000000-0005-0000-0000-000099080000}"/>
    <cellStyle name="Normal 3 2 4 7 2" xfId="4133" xr:uid="{00000000-0005-0000-0000-00009A080000}"/>
    <cellStyle name="Normal 3 2 4 7 3" xfId="2781" xr:uid="{00000000-0005-0000-0000-00009B080000}"/>
    <cellStyle name="Normal 3 2 4 8" xfId="1675" xr:uid="{00000000-0005-0000-0000-00009C080000}"/>
    <cellStyle name="Normal 3 2 4 8 2" xfId="5040" xr:uid="{00000000-0005-0000-0000-00009D080000}"/>
    <cellStyle name="Normal 3 2 4 9" xfId="3463" xr:uid="{00000000-0005-0000-0000-00009E080000}"/>
    <cellStyle name="Normal 3 2 5" xfId="101" xr:uid="{00000000-0005-0000-0000-00009F080000}"/>
    <cellStyle name="Normal 3 2 5 2" xfId="176" xr:uid="{00000000-0005-0000-0000-0000A0080000}"/>
    <cellStyle name="Normal 3 2 5 2 2" xfId="326" xr:uid="{00000000-0005-0000-0000-0000A1080000}"/>
    <cellStyle name="Normal 3 2 5 2 2 2" xfId="626" xr:uid="{00000000-0005-0000-0000-0000A2080000}"/>
    <cellStyle name="Normal 3 2 5 2 2 2 2" xfId="1299" xr:uid="{00000000-0005-0000-0000-0000A3080000}"/>
    <cellStyle name="Normal 3 2 5 2 2 2 2 2" xfId="4664" xr:uid="{00000000-0005-0000-0000-0000A4080000}"/>
    <cellStyle name="Normal 3 2 5 2 2 2 2 3" xfId="3069" xr:uid="{00000000-0005-0000-0000-0000A5080000}"/>
    <cellStyle name="Normal 3 2 5 2 2 2 3" xfId="1676" xr:uid="{00000000-0005-0000-0000-0000A6080000}"/>
    <cellStyle name="Normal 3 2 5 2 2 2 3 2" xfId="5041" xr:uid="{00000000-0005-0000-0000-0000A7080000}"/>
    <cellStyle name="Normal 3 2 5 2 2 2 4" xfId="3994" xr:uid="{00000000-0005-0000-0000-0000A8080000}"/>
    <cellStyle name="Normal 3 2 5 2 2 2 5" xfId="2401" xr:uid="{00000000-0005-0000-0000-0000A9080000}"/>
    <cellStyle name="Normal 3 2 5 2 2 3" xfId="999" xr:uid="{00000000-0005-0000-0000-0000AA080000}"/>
    <cellStyle name="Normal 3 2 5 2 2 3 2" xfId="4364" xr:uid="{00000000-0005-0000-0000-0000AB080000}"/>
    <cellStyle name="Normal 3 2 5 2 2 3 3" xfId="3068" xr:uid="{00000000-0005-0000-0000-0000AC080000}"/>
    <cellStyle name="Normal 3 2 5 2 2 4" xfId="1677" xr:uid="{00000000-0005-0000-0000-0000AD080000}"/>
    <cellStyle name="Normal 3 2 5 2 2 4 2" xfId="5042" xr:uid="{00000000-0005-0000-0000-0000AE080000}"/>
    <cellStyle name="Normal 3 2 5 2 2 5" xfId="3694" xr:uid="{00000000-0005-0000-0000-0000AF080000}"/>
    <cellStyle name="Normal 3 2 5 2 2 6" xfId="2400" xr:uid="{00000000-0005-0000-0000-0000B0080000}"/>
    <cellStyle name="Normal 3 2 5 2 3" xfId="476" xr:uid="{00000000-0005-0000-0000-0000B1080000}"/>
    <cellStyle name="Normal 3 2 5 2 3 2" xfId="1149" xr:uid="{00000000-0005-0000-0000-0000B2080000}"/>
    <cellStyle name="Normal 3 2 5 2 3 2 2" xfId="4514" xr:uid="{00000000-0005-0000-0000-0000B3080000}"/>
    <cellStyle name="Normal 3 2 5 2 3 2 3" xfId="3070" xr:uid="{00000000-0005-0000-0000-0000B4080000}"/>
    <cellStyle name="Normal 3 2 5 2 3 3" xfId="1678" xr:uid="{00000000-0005-0000-0000-0000B5080000}"/>
    <cellStyle name="Normal 3 2 5 2 3 3 2" xfId="5043" xr:uid="{00000000-0005-0000-0000-0000B6080000}"/>
    <cellStyle name="Normal 3 2 5 2 3 4" xfId="3844" xr:uid="{00000000-0005-0000-0000-0000B7080000}"/>
    <cellStyle name="Normal 3 2 5 2 3 5" xfId="2402" xr:uid="{00000000-0005-0000-0000-0000B8080000}"/>
    <cellStyle name="Normal 3 2 5 2 4" xfId="849" xr:uid="{00000000-0005-0000-0000-0000B9080000}"/>
    <cellStyle name="Normal 3 2 5 2 4 2" xfId="4214" xr:uid="{00000000-0005-0000-0000-0000BA080000}"/>
    <cellStyle name="Normal 3 2 5 2 4 3" xfId="3067" xr:uid="{00000000-0005-0000-0000-0000BB080000}"/>
    <cellStyle name="Normal 3 2 5 2 5" xfId="1679" xr:uid="{00000000-0005-0000-0000-0000BC080000}"/>
    <cellStyle name="Normal 3 2 5 2 5 2" xfId="5044" xr:uid="{00000000-0005-0000-0000-0000BD080000}"/>
    <cellStyle name="Normal 3 2 5 2 6" xfId="3544" xr:uid="{00000000-0005-0000-0000-0000BE080000}"/>
    <cellStyle name="Normal 3 2 5 2 7" xfId="2399" xr:uid="{00000000-0005-0000-0000-0000BF080000}"/>
    <cellStyle name="Normal 3 2 5 3" xfId="251" xr:uid="{00000000-0005-0000-0000-0000C0080000}"/>
    <cellStyle name="Normal 3 2 5 3 2" xfId="551" xr:uid="{00000000-0005-0000-0000-0000C1080000}"/>
    <cellStyle name="Normal 3 2 5 3 2 2" xfId="1224" xr:uid="{00000000-0005-0000-0000-0000C2080000}"/>
    <cellStyle name="Normal 3 2 5 3 2 2 2" xfId="4589" xr:uid="{00000000-0005-0000-0000-0000C3080000}"/>
    <cellStyle name="Normal 3 2 5 3 2 2 3" xfId="3072" xr:uid="{00000000-0005-0000-0000-0000C4080000}"/>
    <cellStyle name="Normal 3 2 5 3 2 3" xfId="1680" xr:uid="{00000000-0005-0000-0000-0000C5080000}"/>
    <cellStyle name="Normal 3 2 5 3 2 3 2" xfId="5045" xr:uid="{00000000-0005-0000-0000-0000C6080000}"/>
    <cellStyle name="Normal 3 2 5 3 2 4" xfId="3919" xr:uid="{00000000-0005-0000-0000-0000C7080000}"/>
    <cellStyle name="Normal 3 2 5 3 2 5" xfId="2404" xr:uid="{00000000-0005-0000-0000-0000C8080000}"/>
    <cellStyle name="Normal 3 2 5 3 3" xfId="924" xr:uid="{00000000-0005-0000-0000-0000C9080000}"/>
    <cellStyle name="Normal 3 2 5 3 3 2" xfId="4289" xr:uid="{00000000-0005-0000-0000-0000CA080000}"/>
    <cellStyle name="Normal 3 2 5 3 3 3" xfId="3071" xr:uid="{00000000-0005-0000-0000-0000CB080000}"/>
    <cellStyle name="Normal 3 2 5 3 4" xfId="1681" xr:uid="{00000000-0005-0000-0000-0000CC080000}"/>
    <cellStyle name="Normal 3 2 5 3 4 2" xfId="5046" xr:uid="{00000000-0005-0000-0000-0000CD080000}"/>
    <cellStyle name="Normal 3 2 5 3 5" xfId="3619" xr:uid="{00000000-0005-0000-0000-0000CE080000}"/>
    <cellStyle name="Normal 3 2 5 3 6" xfId="2403" xr:uid="{00000000-0005-0000-0000-0000CF080000}"/>
    <cellStyle name="Normal 3 2 5 4" xfId="401" xr:uid="{00000000-0005-0000-0000-0000D0080000}"/>
    <cellStyle name="Normal 3 2 5 4 2" xfId="1074" xr:uid="{00000000-0005-0000-0000-0000D1080000}"/>
    <cellStyle name="Normal 3 2 5 4 2 2" xfId="4439" xr:uid="{00000000-0005-0000-0000-0000D2080000}"/>
    <cellStyle name="Normal 3 2 5 4 2 3" xfId="3073" xr:uid="{00000000-0005-0000-0000-0000D3080000}"/>
    <cellStyle name="Normal 3 2 5 4 3" xfId="1682" xr:uid="{00000000-0005-0000-0000-0000D4080000}"/>
    <cellStyle name="Normal 3 2 5 4 3 2" xfId="5047" xr:uid="{00000000-0005-0000-0000-0000D5080000}"/>
    <cellStyle name="Normal 3 2 5 4 4" xfId="3769" xr:uid="{00000000-0005-0000-0000-0000D6080000}"/>
    <cellStyle name="Normal 3 2 5 4 5" xfId="2405" xr:uid="{00000000-0005-0000-0000-0000D7080000}"/>
    <cellStyle name="Normal 3 2 5 5" xfId="687" xr:uid="{00000000-0005-0000-0000-0000D8080000}"/>
    <cellStyle name="Normal 3 2 5 5 2" xfId="1360" xr:uid="{00000000-0005-0000-0000-0000D9080000}"/>
    <cellStyle name="Normal 3 2 5 5 2 2" xfId="4725" xr:uid="{00000000-0005-0000-0000-0000DA080000}"/>
    <cellStyle name="Normal 3 2 5 5 2 3" xfId="3074" xr:uid="{00000000-0005-0000-0000-0000DB080000}"/>
    <cellStyle name="Normal 3 2 5 5 3" xfId="1683" xr:uid="{00000000-0005-0000-0000-0000DC080000}"/>
    <cellStyle name="Normal 3 2 5 5 3 2" xfId="5048" xr:uid="{00000000-0005-0000-0000-0000DD080000}"/>
    <cellStyle name="Normal 3 2 5 5 4" xfId="4055" xr:uid="{00000000-0005-0000-0000-0000DE080000}"/>
    <cellStyle name="Normal 3 2 5 5 5" xfId="2406" xr:uid="{00000000-0005-0000-0000-0000DF080000}"/>
    <cellStyle name="Normal 3 2 5 6" xfId="774" xr:uid="{00000000-0005-0000-0000-0000E0080000}"/>
    <cellStyle name="Normal 3 2 5 6 2" xfId="4139" xr:uid="{00000000-0005-0000-0000-0000E1080000}"/>
    <cellStyle name="Normal 3 2 5 6 3" xfId="2787" xr:uid="{00000000-0005-0000-0000-0000E2080000}"/>
    <cellStyle name="Normal 3 2 5 7" xfId="1684" xr:uid="{00000000-0005-0000-0000-0000E3080000}"/>
    <cellStyle name="Normal 3 2 5 7 2" xfId="5049" xr:uid="{00000000-0005-0000-0000-0000E4080000}"/>
    <cellStyle name="Normal 3 2 5 8" xfId="3469" xr:uid="{00000000-0005-0000-0000-0000E5080000}"/>
    <cellStyle name="Normal 3 2 5 9" xfId="2116" xr:uid="{00000000-0005-0000-0000-0000E6080000}"/>
    <cellStyle name="Normal 3 2 6" xfId="73" xr:uid="{00000000-0005-0000-0000-0000E7080000}"/>
    <cellStyle name="Normal 3 2 6 2" xfId="150" xr:uid="{00000000-0005-0000-0000-0000E8080000}"/>
    <cellStyle name="Normal 3 2 6 2 2" xfId="300" xr:uid="{00000000-0005-0000-0000-0000E9080000}"/>
    <cellStyle name="Normal 3 2 6 2 2 2" xfId="600" xr:uid="{00000000-0005-0000-0000-0000EA080000}"/>
    <cellStyle name="Normal 3 2 6 2 2 2 2" xfId="1273" xr:uid="{00000000-0005-0000-0000-0000EB080000}"/>
    <cellStyle name="Normal 3 2 6 2 2 2 2 2" xfId="4638" xr:uid="{00000000-0005-0000-0000-0000EC080000}"/>
    <cellStyle name="Normal 3 2 6 2 2 2 2 3" xfId="3077" xr:uid="{00000000-0005-0000-0000-0000ED080000}"/>
    <cellStyle name="Normal 3 2 6 2 2 2 3" xfId="1685" xr:uid="{00000000-0005-0000-0000-0000EE080000}"/>
    <cellStyle name="Normal 3 2 6 2 2 2 3 2" xfId="5050" xr:uid="{00000000-0005-0000-0000-0000EF080000}"/>
    <cellStyle name="Normal 3 2 6 2 2 2 4" xfId="3968" xr:uid="{00000000-0005-0000-0000-0000F0080000}"/>
    <cellStyle name="Normal 3 2 6 2 2 2 5" xfId="2409" xr:uid="{00000000-0005-0000-0000-0000F1080000}"/>
    <cellStyle name="Normal 3 2 6 2 2 3" xfId="973" xr:uid="{00000000-0005-0000-0000-0000F2080000}"/>
    <cellStyle name="Normal 3 2 6 2 2 3 2" xfId="4338" xr:uid="{00000000-0005-0000-0000-0000F3080000}"/>
    <cellStyle name="Normal 3 2 6 2 2 3 3" xfId="3076" xr:uid="{00000000-0005-0000-0000-0000F4080000}"/>
    <cellStyle name="Normal 3 2 6 2 2 4" xfId="1686" xr:uid="{00000000-0005-0000-0000-0000F5080000}"/>
    <cellStyle name="Normal 3 2 6 2 2 4 2" xfId="5051" xr:uid="{00000000-0005-0000-0000-0000F6080000}"/>
    <cellStyle name="Normal 3 2 6 2 2 5" xfId="3668" xr:uid="{00000000-0005-0000-0000-0000F7080000}"/>
    <cellStyle name="Normal 3 2 6 2 2 6" xfId="2408" xr:uid="{00000000-0005-0000-0000-0000F8080000}"/>
    <cellStyle name="Normal 3 2 6 2 3" xfId="450" xr:uid="{00000000-0005-0000-0000-0000F9080000}"/>
    <cellStyle name="Normal 3 2 6 2 3 2" xfId="1123" xr:uid="{00000000-0005-0000-0000-0000FA080000}"/>
    <cellStyle name="Normal 3 2 6 2 3 2 2" xfId="4488" xr:uid="{00000000-0005-0000-0000-0000FB080000}"/>
    <cellStyle name="Normal 3 2 6 2 3 2 3" xfId="3078" xr:uid="{00000000-0005-0000-0000-0000FC080000}"/>
    <cellStyle name="Normal 3 2 6 2 3 3" xfId="1687" xr:uid="{00000000-0005-0000-0000-0000FD080000}"/>
    <cellStyle name="Normal 3 2 6 2 3 3 2" xfId="5052" xr:uid="{00000000-0005-0000-0000-0000FE080000}"/>
    <cellStyle name="Normal 3 2 6 2 3 4" xfId="3818" xr:uid="{00000000-0005-0000-0000-0000FF080000}"/>
    <cellStyle name="Normal 3 2 6 2 3 5" xfId="2410" xr:uid="{00000000-0005-0000-0000-000000090000}"/>
    <cellStyle name="Normal 3 2 6 2 4" xfId="823" xr:uid="{00000000-0005-0000-0000-000001090000}"/>
    <cellStyle name="Normal 3 2 6 2 4 2" xfId="4188" xr:uid="{00000000-0005-0000-0000-000002090000}"/>
    <cellStyle name="Normal 3 2 6 2 4 3" xfId="3075" xr:uid="{00000000-0005-0000-0000-000003090000}"/>
    <cellStyle name="Normal 3 2 6 2 5" xfId="1688" xr:uid="{00000000-0005-0000-0000-000004090000}"/>
    <cellStyle name="Normal 3 2 6 2 5 2" xfId="5053" xr:uid="{00000000-0005-0000-0000-000005090000}"/>
    <cellStyle name="Normal 3 2 6 2 6" xfId="3518" xr:uid="{00000000-0005-0000-0000-000006090000}"/>
    <cellStyle name="Normal 3 2 6 2 7" xfId="2407" xr:uid="{00000000-0005-0000-0000-000007090000}"/>
    <cellStyle name="Normal 3 2 6 3" xfId="225" xr:uid="{00000000-0005-0000-0000-000008090000}"/>
    <cellStyle name="Normal 3 2 6 3 2" xfId="525" xr:uid="{00000000-0005-0000-0000-000009090000}"/>
    <cellStyle name="Normal 3 2 6 3 2 2" xfId="1198" xr:uid="{00000000-0005-0000-0000-00000A090000}"/>
    <cellStyle name="Normal 3 2 6 3 2 2 2" xfId="4563" xr:uid="{00000000-0005-0000-0000-00000B090000}"/>
    <cellStyle name="Normal 3 2 6 3 2 2 3" xfId="3080" xr:uid="{00000000-0005-0000-0000-00000C090000}"/>
    <cellStyle name="Normal 3 2 6 3 2 3" xfId="1689" xr:uid="{00000000-0005-0000-0000-00000D090000}"/>
    <cellStyle name="Normal 3 2 6 3 2 3 2" xfId="5054" xr:uid="{00000000-0005-0000-0000-00000E090000}"/>
    <cellStyle name="Normal 3 2 6 3 2 4" xfId="3893" xr:uid="{00000000-0005-0000-0000-00000F090000}"/>
    <cellStyle name="Normal 3 2 6 3 2 5" xfId="2412" xr:uid="{00000000-0005-0000-0000-000010090000}"/>
    <cellStyle name="Normal 3 2 6 3 3" xfId="898" xr:uid="{00000000-0005-0000-0000-000011090000}"/>
    <cellStyle name="Normal 3 2 6 3 3 2" xfId="4263" xr:uid="{00000000-0005-0000-0000-000012090000}"/>
    <cellStyle name="Normal 3 2 6 3 3 3" xfId="3079" xr:uid="{00000000-0005-0000-0000-000013090000}"/>
    <cellStyle name="Normal 3 2 6 3 4" xfId="1690" xr:uid="{00000000-0005-0000-0000-000014090000}"/>
    <cellStyle name="Normal 3 2 6 3 4 2" xfId="5055" xr:uid="{00000000-0005-0000-0000-000015090000}"/>
    <cellStyle name="Normal 3 2 6 3 5" xfId="3593" xr:uid="{00000000-0005-0000-0000-000016090000}"/>
    <cellStyle name="Normal 3 2 6 3 6" xfId="2411" xr:uid="{00000000-0005-0000-0000-000017090000}"/>
    <cellStyle name="Normal 3 2 6 4" xfId="375" xr:uid="{00000000-0005-0000-0000-000018090000}"/>
    <cellStyle name="Normal 3 2 6 4 2" xfId="1048" xr:uid="{00000000-0005-0000-0000-000019090000}"/>
    <cellStyle name="Normal 3 2 6 4 2 2" xfId="4413" xr:uid="{00000000-0005-0000-0000-00001A090000}"/>
    <cellStyle name="Normal 3 2 6 4 2 3" xfId="3081" xr:uid="{00000000-0005-0000-0000-00001B090000}"/>
    <cellStyle name="Normal 3 2 6 4 3" xfId="1691" xr:uid="{00000000-0005-0000-0000-00001C090000}"/>
    <cellStyle name="Normal 3 2 6 4 3 2" xfId="5056" xr:uid="{00000000-0005-0000-0000-00001D090000}"/>
    <cellStyle name="Normal 3 2 6 4 4" xfId="3743" xr:uid="{00000000-0005-0000-0000-00001E090000}"/>
    <cellStyle name="Normal 3 2 6 4 5" xfId="2413" xr:uid="{00000000-0005-0000-0000-00001F090000}"/>
    <cellStyle name="Normal 3 2 6 5" xfId="748" xr:uid="{00000000-0005-0000-0000-000020090000}"/>
    <cellStyle name="Normal 3 2 6 5 2" xfId="4113" xr:uid="{00000000-0005-0000-0000-000021090000}"/>
    <cellStyle name="Normal 3 2 6 5 3" xfId="2826" xr:uid="{00000000-0005-0000-0000-000022090000}"/>
    <cellStyle name="Normal 3 2 6 6" xfId="1692" xr:uid="{00000000-0005-0000-0000-000023090000}"/>
    <cellStyle name="Normal 3 2 6 6 2" xfId="5057" xr:uid="{00000000-0005-0000-0000-000024090000}"/>
    <cellStyle name="Normal 3 2 6 7" xfId="3443" xr:uid="{00000000-0005-0000-0000-000025090000}"/>
    <cellStyle name="Normal 3 2 6 8" xfId="2158" xr:uid="{00000000-0005-0000-0000-000026090000}"/>
    <cellStyle name="Normal 3 2 7" xfId="65" xr:uid="{00000000-0005-0000-0000-000027090000}"/>
    <cellStyle name="Normal 3 2 7 2" xfId="142" xr:uid="{00000000-0005-0000-0000-000028090000}"/>
    <cellStyle name="Normal 3 2 7 2 2" xfId="292" xr:uid="{00000000-0005-0000-0000-000029090000}"/>
    <cellStyle name="Normal 3 2 7 2 2 2" xfId="592" xr:uid="{00000000-0005-0000-0000-00002A090000}"/>
    <cellStyle name="Normal 3 2 7 2 2 2 2" xfId="1265" xr:uid="{00000000-0005-0000-0000-00002B090000}"/>
    <cellStyle name="Normal 3 2 7 2 2 2 2 2" xfId="4630" xr:uid="{00000000-0005-0000-0000-00002C090000}"/>
    <cellStyle name="Normal 3 2 7 2 2 2 2 3" xfId="3084" xr:uid="{00000000-0005-0000-0000-00002D090000}"/>
    <cellStyle name="Normal 3 2 7 2 2 2 3" xfId="1693" xr:uid="{00000000-0005-0000-0000-00002E090000}"/>
    <cellStyle name="Normal 3 2 7 2 2 2 3 2" xfId="5058" xr:uid="{00000000-0005-0000-0000-00002F090000}"/>
    <cellStyle name="Normal 3 2 7 2 2 2 4" xfId="3960" xr:uid="{00000000-0005-0000-0000-000030090000}"/>
    <cellStyle name="Normal 3 2 7 2 2 2 5" xfId="2416" xr:uid="{00000000-0005-0000-0000-000031090000}"/>
    <cellStyle name="Normal 3 2 7 2 2 3" xfId="965" xr:uid="{00000000-0005-0000-0000-000032090000}"/>
    <cellStyle name="Normal 3 2 7 2 2 3 2" xfId="4330" xr:uid="{00000000-0005-0000-0000-000033090000}"/>
    <cellStyle name="Normal 3 2 7 2 2 3 3" xfId="3083" xr:uid="{00000000-0005-0000-0000-000034090000}"/>
    <cellStyle name="Normal 3 2 7 2 2 4" xfId="1694" xr:uid="{00000000-0005-0000-0000-000035090000}"/>
    <cellStyle name="Normal 3 2 7 2 2 4 2" xfId="5059" xr:uid="{00000000-0005-0000-0000-000036090000}"/>
    <cellStyle name="Normal 3 2 7 2 2 5" xfId="3660" xr:uid="{00000000-0005-0000-0000-000037090000}"/>
    <cellStyle name="Normal 3 2 7 2 2 6" xfId="2415" xr:uid="{00000000-0005-0000-0000-000038090000}"/>
    <cellStyle name="Normal 3 2 7 2 3" xfId="442" xr:uid="{00000000-0005-0000-0000-000039090000}"/>
    <cellStyle name="Normal 3 2 7 2 3 2" xfId="1115" xr:uid="{00000000-0005-0000-0000-00003A090000}"/>
    <cellStyle name="Normal 3 2 7 2 3 2 2" xfId="4480" xr:uid="{00000000-0005-0000-0000-00003B090000}"/>
    <cellStyle name="Normal 3 2 7 2 3 2 3" xfId="3085" xr:uid="{00000000-0005-0000-0000-00003C090000}"/>
    <cellStyle name="Normal 3 2 7 2 3 3" xfId="1695" xr:uid="{00000000-0005-0000-0000-00003D090000}"/>
    <cellStyle name="Normal 3 2 7 2 3 3 2" xfId="5060" xr:uid="{00000000-0005-0000-0000-00003E090000}"/>
    <cellStyle name="Normal 3 2 7 2 3 4" xfId="3810" xr:uid="{00000000-0005-0000-0000-00003F090000}"/>
    <cellStyle name="Normal 3 2 7 2 3 5" xfId="2417" xr:uid="{00000000-0005-0000-0000-000040090000}"/>
    <cellStyle name="Normal 3 2 7 2 4" xfId="815" xr:uid="{00000000-0005-0000-0000-000041090000}"/>
    <cellStyle name="Normal 3 2 7 2 4 2" xfId="4180" xr:uid="{00000000-0005-0000-0000-000042090000}"/>
    <cellStyle name="Normal 3 2 7 2 4 3" xfId="3082" xr:uid="{00000000-0005-0000-0000-000043090000}"/>
    <cellStyle name="Normal 3 2 7 2 5" xfId="1696" xr:uid="{00000000-0005-0000-0000-000044090000}"/>
    <cellStyle name="Normal 3 2 7 2 5 2" xfId="5061" xr:uid="{00000000-0005-0000-0000-000045090000}"/>
    <cellStyle name="Normal 3 2 7 2 6" xfId="3510" xr:uid="{00000000-0005-0000-0000-000046090000}"/>
    <cellStyle name="Normal 3 2 7 2 7" xfId="2414" xr:uid="{00000000-0005-0000-0000-000047090000}"/>
    <cellStyle name="Normal 3 2 7 3" xfId="217" xr:uid="{00000000-0005-0000-0000-000048090000}"/>
    <cellStyle name="Normal 3 2 7 3 2" xfId="517" xr:uid="{00000000-0005-0000-0000-000049090000}"/>
    <cellStyle name="Normal 3 2 7 3 2 2" xfId="1190" xr:uid="{00000000-0005-0000-0000-00004A090000}"/>
    <cellStyle name="Normal 3 2 7 3 2 2 2" xfId="4555" xr:uid="{00000000-0005-0000-0000-00004B090000}"/>
    <cellStyle name="Normal 3 2 7 3 2 2 3" xfId="3087" xr:uid="{00000000-0005-0000-0000-00004C090000}"/>
    <cellStyle name="Normal 3 2 7 3 2 3" xfId="1697" xr:uid="{00000000-0005-0000-0000-00004D090000}"/>
    <cellStyle name="Normal 3 2 7 3 2 3 2" xfId="5062" xr:uid="{00000000-0005-0000-0000-00004E090000}"/>
    <cellStyle name="Normal 3 2 7 3 2 4" xfId="3885" xr:uid="{00000000-0005-0000-0000-00004F090000}"/>
    <cellStyle name="Normal 3 2 7 3 2 5" xfId="2419" xr:uid="{00000000-0005-0000-0000-000050090000}"/>
    <cellStyle name="Normal 3 2 7 3 3" xfId="890" xr:uid="{00000000-0005-0000-0000-000051090000}"/>
    <cellStyle name="Normal 3 2 7 3 3 2" xfId="4255" xr:uid="{00000000-0005-0000-0000-000052090000}"/>
    <cellStyle name="Normal 3 2 7 3 3 3" xfId="3086" xr:uid="{00000000-0005-0000-0000-000053090000}"/>
    <cellStyle name="Normal 3 2 7 3 4" xfId="1698" xr:uid="{00000000-0005-0000-0000-000054090000}"/>
    <cellStyle name="Normal 3 2 7 3 4 2" xfId="5063" xr:uid="{00000000-0005-0000-0000-000055090000}"/>
    <cellStyle name="Normal 3 2 7 3 5" xfId="3585" xr:uid="{00000000-0005-0000-0000-000056090000}"/>
    <cellStyle name="Normal 3 2 7 3 6" xfId="2418" xr:uid="{00000000-0005-0000-0000-000057090000}"/>
    <cellStyle name="Normal 3 2 7 4" xfId="367" xr:uid="{00000000-0005-0000-0000-000058090000}"/>
    <cellStyle name="Normal 3 2 7 4 2" xfId="1040" xr:uid="{00000000-0005-0000-0000-000059090000}"/>
    <cellStyle name="Normal 3 2 7 4 2 2" xfId="4405" xr:uid="{00000000-0005-0000-0000-00005A090000}"/>
    <cellStyle name="Normal 3 2 7 4 2 3" xfId="3088" xr:uid="{00000000-0005-0000-0000-00005B090000}"/>
    <cellStyle name="Normal 3 2 7 4 3" xfId="1699" xr:uid="{00000000-0005-0000-0000-00005C090000}"/>
    <cellStyle name="Normal 3 2 7 4 3 2" xfId="5064" xr:uid="{00000000-0005-0000-0000-00005D090000}"/>
    <cellStyle name="Normal 3 2 7 4 4" xfId="3735" xr:uid="{00000000-0005-0000-0000-00005E090000}"/>
    <cellStyle name="Normal 3 2 7 4 5" xfId="2420" xr:uid="{00000000-0005-0000-0000-00005F090000}"/>
    <cellStyle name="Normal 3 2 7 5" xfId="740" xr:uid="{00000000-0005-0000-0000-000060090000}"/>
    <cellStyle name="Normal 3 2 7 5 2" xfId="4105" xr:uid="{00000000-0005-0000-0000-000061090000}"/>
    <cellStyle name="Normal 3 2 7 5 3" xfId="2827" xr:uid="{00000000-0005-0000-0000-000062090000}"/>
    <cellStyle name="Normal 3 2 7 6" xfId="1700" xr:uid="{00000000-0005-0000-0000-000063090000}"/>
    <cellStyle name="Normal 3 2 7 6 2" xfId="5065" xr:uid="{00000000-0005-0000-0000-000064090000}"/>
    <cellStyle name="Normal 3 2 7 7" xfId="3435" xr:uid="{00000000-0005-0000-0000-000065090000}"/>
    <cellStyle name="Normal 3 2 7 8" xfId="2159" xr:uid="{00000000-0005-0000-0000-000066090000}"/>
    <cellStyle name="Normal 3 2 8" xfId="135" xr:uid="{00000000-0005-0000-0000-000067090000}"/>
    <cellStyle name="Normal 3 2 8 2" xfId="285" xr:uid="{00000000-0005-0000-0000-000068090000}"/>
    <cellStyle name="Normal 3 2 8 2 2" xfId="585" xr:uid="{00000000-0005-0000-0000-000069090000}"/>
    <cellStyle name="Normal 3 2 8 2 2 2" xfId="1258" xr:uid="{00000000-0005-0000-0000-00006A090000}"/>
    <cellStyle name="Normal 3 2 8 2 2 2 2" xfId="4623" xr:uid="{00000000-0005-0000-0000-00006B090000}"/>
    <cellStyle name="Normal 3 2 8 2 2 2 3" xfId="3091" xr:uid="{00000000-0005-0000-0000-00006C090000}"/>
    <cellStyle name="Normal 3 2 8 2 2 3" xfId="1701" xr:uid="{00000000-0005-0000-0000-00006D090000}"/>
    <cellStyle name="Normal 3 2 8 2 2 3 2" xfId="5066" xr:uid="{00000000-0005-0000-0000-00006E090000}"/>
    <cellStyle name="Normal 3 2 8 2 2 4" xfId="3953" xr:uid="{00000000-0005-0000-0000-00006F090000}"/>
    <cellStyle name="Normal 3 2 8 2 2 5" xfId="2423" xr:uid="{00000000-0005-0000-0000-000070090000}"/>
    <cellStyle name="Normal 3 2 8 2 3" xfId="958" xr:uid="{00000000-0005-0000-0000-000071090000}"/>
    <cellStyle name="Normal 3 2 8 2 3 2" xfId="4323" xr:uid="{00000000-0005-0000-0000-000072090000}"/>
    <cellStyle name="Normal 3 2 8 2 3 3" xfId="3090" xr:uid="{00000000-0005-0000-0000-000073090000}"/>
    <cellStyle name="Normal 3 2 8 2 4" xfId="1702" xr:uid="{00000000-0005-0000-0000-000074090000}"/>
    <cellStyle name="Normal 3 2 8 2 4 2" xfId="5067" xr:uid="{00000000-0005-0000-0000-000075090000}"/>
    <cellStyle name="Normal 3 2 8 2 5" xfId="3653" xr:uid="{00000000-0005-0000-0000-000076090000}"/>
    <cellStyle name="Normal 3 2 8 2 6" xfId="2422" xr:uid="{00000000-0005-0000-0000-000077090000}"/>
    <cellStyle name="Normal 3 2 8 3" xfId="435" xr:uid="{00000000-0005-0000-0000-000078090000}"/>
    <cellStyle name="Normal 3 2 8 3 2" xfId="1108" xr:uid="{00000000-0005-0000-0000-000079090000}"/>
    <cellStyle name="Normal 3 2 8 3 2 2" xfId="4473" xr:uid="{00000000-0005-0000-0000-00007A090000}"/>
    <cellStyle name="Normal 3 2 8 3 2 3" xfId="3092" xr:uid="{00000000-0005-0000-0000-00007B090000}"/>
    <cellStyle name="Normal 3 2 8 3 3" xfId="1703" xr:uid="{00000000-0005-0000-0000-00007C090000}"/>
    <cellStyle name="Normal 3 2 8 3 3 2" xfId="5068" xr:uid="{00000000-0005-0000-0000-00007D090000}"/>
    <cellStyle name="Normal 3 2 8 3 4" xfId="3803" xr:uid="{00000000-0005-0000-0000-00007E090000}"/>
    <cellStyle name="Normal 3 2 8 3 5" xfId="2424" xr:uid="{00000000-0005-0000-0000-00007F090000}"/>
    <cellStyle name="Normal 3 2 8 4" xfId="808" xr:uid="{00000000-0005-0000-0000-000080090000}"/>
    <cellStyle name="Normal 3 2 8 4 2" xfId="4173" xr:uid="{00000000-0005-0000-0000-000081090000}"/>
    <cellStyle name="Normal 3 2 8 4 3" xfId="3089" xr:uid="{00000000-0005-0000-0000-000082090000}"/>
    <cellStyle name="Normal 3 2 8 5" xfId="1704" xr:uid="{00000000-0005-0000-0000-000083090000}"/>
    <cellStyle name="Normal 3 2 8 5 2" xfId="5069" xr:uid="{00000000-0005-0000-0000-000084090000}"/>
    <cellStyle name="Normal 3 2 8 6" xfId="3503" xr:uid="{00000000-0005-0000-0000-000085090000}"/>
    <cellStyle name="Normal 3 2 8 7" xfId="2421" xr:uid="{00000000-0005-0000-0000-000086090000}"/>
    <cellStyle name="Normal 3 2 9" xfId="210" xr:uid="{00000000-0005-0000-0000-000087090000}"/>
    <cellStyle name="Normal 3 2 9 2" xfId="510" xr:uid="{00000000-0005-0000-0000-000088090000}"/>
    <cellStyle name="Normal 3 2 9 2 2" xfId="1183" xr:uid="{00000000-0005-0000-0000-000089090000}"/>
    <cellStyle name="Normal 3 2 9 2 2 2" xfId="4548" xr:uid="{00000000-0005-0000-0000-00008A090000}"/>
    <cellStyle name="Normal 3 2 9 2 2 3" xfId="3094" xr:uid="{00000000-0005-0000-0000-00008B090000}"/>
    <cellStyle name="Normal 3 2 9 2 3" xfId="1705" xr:uid="{00000000-0005-0000-0000-00008C090000}"/>
    <cellStyle name="Normal 3 2 9 2 3 2" xfId="5070" xr:uid="{00000000-0005-0000-0000-00008D090000}"/>
    <cellStyle name="Normal 3 2 9 2 4" xfId="3878" xr:uid="{00000000-0005-0000-0000-00008E090000}"/>
    <cellStyle name="Normal 3 2 9 2 5" xfId="2426" xr:uid="{00000000-0005-0000-0000-00008F090000}"/>
    <cellStyle name="Normal 3 2 9 3" xfId="883" xr:uid="{00000000-0005-0000-0000-000090090000}"/>
    <cellStyle name="Normal 3 2 9 3 2" xfId="4248" xr:uid="{00000000-0005-0000-0000-000091090000}"/>
    <cellStyle name="Normal 3 2 9 3 3" xfId="3093" xr:uid="{00000000-0005-0000-0000-000092090000}"/>
    <cellStyle name="Normal 3 2 9 4" xfId="1706" xr:uid="{00000000-0005-0000-0000-000093090000}"/>
    <cellStyle name="Normal 3 2 9 4 2" xfId="5071" xr:uid="{00000000-0005-0000-0000-000094090000}"/>
    <cellStyle name="Normal 3 2 9 5" xfId="3578" xr:uid="{00000000-0005-0000-0000-000095090000}"/>
    <cellStyle name="Normal 3 2 9 6" xfId="2425" xr:uid="{00000000-0005-0000-0000-000096090000}"/>
    <cellStyle name="Normal 3 3" xfId="19" xr:uid="{00000000-0005-0000-0000-000097090000}"/>
    <cellStyle name="Normal 3 3 10" xfId="1707" xr:uid="{00000000-0005-0000-0000-000098090000}"/>
    <cellStyle name="Normal 3 3 10 2" xfId="5072" xr:uid="{00000000-0005-0000-0000-000099090000}"/>
    <cellStyle name="Normal 3 3 11" xfId="3430" xr:uid="{00000000-0005-0000-0000-00009A090000}"/>
    <cellStyle name="Normal 3 3 12" xfId="2087" xr:uid="{00000000-0005-0000-0000-00009B090000}"/>
    <cellStyle name="Normal 3 3 2" xfId="106" xr:uid="{00000000-0005-0000-0000-00009C090000}"/>
    <cellStyle name="Normal 3 3 2 2" xfId="181" xr:uid="{00000000-0005-0000-0000-00009D090000}"/>
    <cellStyle name="Normal 3 3 2 2 2" xfId="331" xr:uid="{00000000-0005-0000-0000-00009E090000}"/>
    <cellStyle name="Normal 3 3 2 2 2 2" xfId="631" xr:uid="{00000000-0005-0000-0000-00009F090000}"/>
    <cellStyle name="Normal 3 3 2 2 2 2 2" xfId="1304" xr:uid="{00000000-0005-0000-0000-0000A0090000}"/>
    <cellStyle name="Normal 3 3 2 2 2 2 2 2" xfId="4669" xr:uid="{00000000-0005-0000-0000-0000A1090000}"/>
    <cellStyle name="Normal 3 3 2 2 2 2 2 3" xfId="3097" xr:uid="{00000000-0005-0000-0000-0000A2090000}"/>
    <cellStyle name="Normal 3 3 2 2 2 2 3" xfId="1708" xr:uid="{00000000-0005-0000-0000-0000A3090000}"/>
    <cellStyle name="Normal 3 3 2 2 2 2 3 2" xfId="5073" xr:uid="{00000000-0005-0000-0000-0000A4090000}"/>
    <cellStyle name="Normal 3 3 2 2 2 2 4" xfId="3999" xr:uid="{00000000-0005-0000-0000-0000A5090000}"/>
    <cellStyle name="Normal 3 3 2 2 2 2 5" xfId="2429" xr:uid="{00000000-0005-0000-0000-0000A6090000}"/>
    <cellStyle name="Normal 3 3 2 2 2 3" xfId="1004" xr:uid="{00000000-0005-0000-0000-0000A7090000}"/>
    <cellStyle name="Normal 3 3 2 2 2 3 2" xfId="4369" xr:uid="{00000000-0005-0000-0000-0000A8090000}"/>
    <cellStyle name="Normal 3 3 2 2 2 3 3" xfId="3096" xr:uid="{00000000-0005-0000-0000-0000A9090000}"/>
    <cellStyle name="Normal 3 3 2 2 2 4" xfId="1709" xr:uid="{00000000-0005-0000-0000-0000AA090000}"/>
    <cellStyle name="Normal 3 3 2 2 2 4 2" xfId="5074" xr:uid="{00000000-0005-0000-0000-0000AB090000}"/>
    <cellStyle name="Normal 3 3 2 2 2 5" xfId="3699" xr:uid="{00000000-0005-0000-0000-0000AC090000}"/>
    <cellStyle name="Normal 3 3 2 2 2 6" xfId="2428" xr:uid="{00000000-0005-0000-0000-0000AD090000}"/>
    <cellStyle name="Normal 3 3 2 2 3" xfId="481" xr:uid="{00000000-0005-0000-0000-0000AE090000}"/>
    <cellStyle name="Normal 3 3 2 2 3 2" xfId="1154" xr:uid="{00000000-0005-0000-0000-0000AF090000}"/>
    <cellStyle name="Normal 3 3 2 2 3 2 2" xfId="4519" xr:uid="{00000000-0005-0000-0000-0000B0090000}"/>
    <cellStyle name="Normal 3 3 2 2 3 2 3" xfId="3098" xr:uid="{00000000-0005-0000-0000-0000B1090000}"/>
    <cellStyle name="Normal 3 3 2 2 3 3" xfId="1710" xr:uid="{00000000-0005-0000-0000-0000B2090000}"/>
    <cellStyle name="Normal 3 3 2 2 3 3 2" xfId="5075" xr:uid="{00000000-0005-0000-0000-0000B3090000}"/>
    <cellStyle name="Normal 3 3 2 2 3 4" xfId="3849" xr:uid="{00000000-0005-0000-0000-0000B4090000}"/>
    <cellStyle name="Normal 3 3 2 2 3 5" xfId="2430" xr:uid="{00000000-0005-0000-0000-0000B5090000}"/>
    <cellStyle name="Normal 3 3 2 2 4" xfId="854" xr:uid="{00000000-0005-0000-0000-0000B6090000}"/>
    <cellStyle name="Normal 3 3 2 2 4 2" xfId="4219" xr:uid="{00000000-0005-0000-0000-0000B7090000}"/>
    <cellStyle name="Normal 3 3 2 2 4 3" xfId="3095" xr:uid="{00000000-0005-0000-0000-0000B8090000}"/>
    <cellStyle name="Normal 3 3 2 2 5" xfId="1711" xr:uid="{00000000-0005-0000-0000-0000B9090000}"/>
    <cellStyle name="Normal 3 3 2 2 5 2" xfId="5076" xr:uid="{00000000-0005-0000-0000-0000BA090000}"/>
    <cellStyle name="Normal 3 3 2 2 6" xfId="3549" xr:uid="{00000000-0005-0000-0000-0000BB090000}"/>
    <cellStyle name="Normal 3 3 2 2 7" xfId="2427" xr:uid="{00000000-0005-0000-0000-0000BC090000}"/>
    <cellStyle name="Normal 3 3 2 3" xfId="256" xr:uid="{00000000-0005-0000-0000-0000BD090000}"/>
    <cellStyle name="Normal 3 3 2 3 2" xfId="556" xr:uid="{00000000-0005-0000-0000-0000BE090000}"/>
    <cellStyle name="Normal 3 3 2 3 2 2" xfId="1229" xr:uid="{00000000-0005-0000-0000-0000BF090000}"/>
    <cellStyle name="Normal 3 3 2 3 2 2 2" xfId="4594" xr:uid="{00000000-0005-0000-0000-0000C0090000}"/>
    <cellStyle name="Normal 3 3 2 3 2 2 3" xfId="3100" xr:uid="{00000000-0005-0000-0000-0000C1090000}"/>
    <cellStyle name="Normal 3 3 2 3 2 3" xfId="1712" xr:uid="{00000000-0005-0000-0000-0000C2090000}"/>
    <cellStyle name="Normal 3 3 2 3 2 3 2" xfId="5077" xr:uid="{00000000-0005-0000-0000-0000C3090000}"/>
    <cellStyle name="Normal 3 3 2 3 2 4" xfId="3924" xr:uid="{00000000-0005-0000-0000-0000C4090000}"/>
    <cellStyle name="Normal 3 3 2 3 2 5" xfId="2432" xr:uid="{00000000-0005-0000-0000-0000C5090000}"/>
    <cellStyle name="Normal 3 3 2 3 3" xfId="929" xr:uid="{00000000-0005-0000-0000-0000C6090000}"/>
    <cellStyle name="Normal 3 3 2 3 3 2" xfId="4294" xr:uid="{00000000-0005-0000-0000-0000C7090000}"/>
    <cellStyle name="Normal 3 3 2 3 3 3" xfId="3099" xr:uid="{00000000-0005-0000-0000-0000C8090000}"/>
    <cellStyle name="Normal 3 3 2 3 4" xfId="1713" xr:uid="{00000000-0005-0000-0000-0000C9090000}"/>
    <cellStyle name="Normal 3 3 2 3 4 2" xfId="5078" xr:uid="{00000000-0005-0000-0000-0000CA090000}"/>
    <cellStyle name="Normal 3 3 2 3 5" xfId="3624" xr:uid="{00000000-0005-0000-0000-0000CB090000}"/>
    <cellStyle name="Normal 3 3 2 3 6" xfId="2431" xr:uid="{00000000-0005-0000-0000-0000CC090000}"/>
    <cellStyle name="Normal 3 3 2 4" xfId="406" xr:uid="{00000000-0005-0000-0000-0000CD090000}"/>
    <cellStyle name="Normal 3 3 2 4 2" xfId="1079" xr:uid="{00000000-0005-0000-0000-0000CE090000}"/>
    <cellStyle name="Normal 3 3 2 4 2 2" xfId="4444" xr:uid="{00000000-0005-0000-0000-0000CF090000}"/>
    <cellStyle name="Normal 3 3 2 4 2 3" xfId="3101" xr:uid="{00000000-0005-0000-0000-0000D0090000}"/>
    <cellStyle name="Normal 3 3 2 4 3" xfId="1714" xr:uid="{00000000-0005-0000-0000-0000D1090000}"/>
    <cellStyle name="Normal 3 3 2 4 3 2" xfId="5079" xr:uid="{00000000-0005-0000-0000-0000D2090000}"/>
    <cellStyle name="Normal 3 3 2 4 4" xfId="3774" xr:uid="{00000000-0005-0000-0000-0000D3090000}"/>
    <cellStyle name="Normal 3 3 2 4 5" xfId="2433" xr:uid="{00000000-0005-0000-0000-0000D4090000}"/>
    <cellStyle name="Normal 3 3 2 5" xfId="692" xr:uid="{00000000-0005-0000-0000-0000D5090000}"/>
    <cellStyle name="Normal 3 3 2 5 2" xfId="1365" xr:uid="{00000000-0005-0000-0000-0000D6090000}"/>
    <cellStyle name="Normal 3 3 2 5 2 2" xfId="4730" xr:uid="{00000000-0005-0000-0000-0000D7090000}"/>
    <cellStyle name="Normal 3 3 2 5 2 3" xfId="3102" xr:uid="{00000000-0005-0000-0000-0000D8090000}"/>
    <cellStyle name="Normal 3 3 2 5 3" xfId="1715" xr:uid="{00000000-0005-0000-0000-0000D9090000}"/>
    <cellStyle name="Normal 3 3 2 5 3 2" xfId="5080" xr:uid="{00000000-0005-0000-0000-0000DA090000}"/>
    <cellStyle name="Normal 3 3 2 5 4" xfId="4060" xr:uid="{00000000-0005-0000-0000-0000DB090000}"/>
    <cellStyle name="Normal 3 3 2 5 5" xfId="2434" xr:uid="{00000000-0005-0000-0000-0000DC090000}"/>
    <cellStyle name="Normal 3 3 2 6" xfId="779" xr:uid="{00000000-0005-0000-0000-0000DD090000}"/>
    <cellStyle name="Normal 3 3 2 6 2" xfId="4144" xr:uid="{00000000-0005-0000-0000-0000DE090000}"/>
    <cellStyle name="Normal 3 3 2 6 3" xfId="2792" xr:uid="{00000000-0005-0000-0000-0000DF090000}"/>
    <cellStyle name="Normal 3 3 2 7" xfId="1716" xr:uid="{00000000-0005-0000-0000-0000E0090000}"/>
    <cellStyle name="Normal 3 3 2 7 2" xfId="5081" xr:uid="{00000000-0005-0000-0000-0000E1090000}"/>
    <cellStyle name="Normal 3 3 2 8" xfId="3474" xr:uid="{00000000-0005-0000-0000-0000E2090000}"/>
    <cellStyle name="Normal 3 3 2 9" xfId="2121" xr:uid="{00000000-0005-0000-0000-0000E3090000}"/>
    <cellStyle name="Normal 3 3 3" xfId="79" xr:uid="{00000000-0005-0000-0000-0000E4090000}"/>
    <cellStyle name="Normal 3 3 3 2" xfId="155" xr:uid="{00000000-0005-0000-0000-0000E5090000}"/>
    <cellStyle name="Normal 3 3 3 2 2" xfId="305" xr:uid="{00000000-0005-0000-0000-0000E6090000}"/>
    <cellStyle name="Normal 3 3 3 2 2 2" xfId="605" xr:uid="{00000000-0005-0000-0000-0000E7090000}"/>
    <cellStyle name="Normal 3 3 3 2 2 2 2" xfId="1278" xr:uid="{00000000-0005-0000-0000-0000E8090000}"/>
    <cellStyle name="Normal 3 3 3 2 2 2 2 2" xfId="4643" xr:uid="{00000000-0005-0000-0000-0000E9090000}"/>
    <cellStyle name="Normal 3 3 3 2 2 2 2 3" xfId="3105" xr:uid="{00000000-0005-0000-0000-0000EA090000}"/>
    <cellStyle name="Normal 3 3 3 2 2 2 3" xfId="1717" xr:uid="{00000000-0005-0000-0000-0000EB090000}"/>
    <cellStyle name="Normal 3 3 3 2 2 2 3 2" xfId="5082" xr:uid="{00000000-0005-0000-0000-0000EC090000}"/>
    <cellStyle name="Normal 3 3 3 2 2 2 4" xfId="3973" xr:uid="{00000000-0005-0000-0000-0000ED090000}"/>
    <cellStyle name="Normal 3 3 3 2 2 2 5" xfId="2437" xr:uid="{00000000-0005-0000-0000-0000EE090000}"/>
    <cellStyle name="Normal 3 3 3 2 2 3" xfId="978" xr:uid="{00000000-0005-0000-0000-0000EF090000}"/>
    <cellStyle name="Normal 3 3 3 2 2 3 2" xfId="4343" xr:uid="{00000000-0005-0000-0000-0000F0090000}"/>
    <cellStyle name="Normal 3 3 3 2 2 3 3" xfId="3104" xr:uid="{00000000-0005-0000-0000-0000F1090000}"/>
    <cellStyle name="Normal 3 3 3 2 2 4" xfId="1718" xr:uid="{00000000-0005-0000-0000-0000F2090000}"/>
    <cellStyle name="Normal 3 3 3 2 2 4 2" xfId="5083" xr:uid="{00000000-0005-0000-0000-0000F3090000}"/>
    <cellStyle name="Normal 3 3 3 2 2 5" xfId="3673" xr:uid="{00000000-0005-0000-0000-0000F4090000}"/>
    <cellStyle name="Normal 3 3 3 2 2 6" xfId="2436" xr:uid="{00000000-0005-0000-0000-0000F5090000}"/>
    <cellStyle name="Normal 3 3 3 2 3" xfId="455" xr:uid="{00000000-0005-0000-0000-0000F6090000}"/>
    <cellStyle name="Normal 3 3 3 2 3 2" xfId="1128" xr:uid="{00000000-0005-0000-0000-0000F7090000}"/>
    <cellStyle name="Normal 3 3 3 2 3 2 2" xfId="4493" xr:uid="{00000000-0005-0000-0000-0000F8090000}"/>
    <cellStyle name="Normal 3 3 3 2 3 2 3" xfId="3106" xr:uid="{00000000-0005-0000-0000-0000F9090000}"/>
    <cellStyle name="Normal 3 3 3 2 3 3" xfId="1719" xr:uid="{00000000-0005-0000-0000-0000FA090000}"/>
    <cellStyle name="Normal 3 3 3 2 3 3 2" xfId="5084" xr:uid="{00000000-0005-0000-0000-0000FB090000}"/>
    <cellStyle name="Normal 3 3 3 2 3 4" xfId="3823" xr:uid="{00000000-0005-0000-0000-0000FC090000}"/>
    <cellStyle name="Normal 3 3 3 2 3 5" xfId="2438" xr:uid="{00000000-0005-0000-0000-0000FD090000}"/>
    <cellStyle name="Normal 3 3 3 2 4" xfId="828" xr:uid="{00000000-0005-0000-0000-0000FE090000}"/>
    <cellStyle name="Normal 3 3 3 2 4 2" xfId="4193" xr:uid="{00000000-0005-0000-0000-0000FF090000}"/>
    <cellStyle name="Normal 3 3 3 2 4 3" xfId="3103" xr:uid="{00000000-0005-0000-0000-0000000A0000}"/>
    <cellStyle name="Normal 3 3 3 2 5" xfId="1720" xr:uid="{00000000-0005-0000-0000-0000010A0000}"/>
    <cellStyle name="Normal 3 3 3 2 5 2" xfId="5085" xr:uid="{00000000-0005-0000-0000-0000020A0000}"/>
    <cellStyle name="Normal 3 3 3 2 6" xfId="3523" xr:uid="{00000000-0005-0000-0000-0000030A0000}"/>
    <cellStyle name="Normal 3 3 3 2 7" xfId="2435" xr:uid="{00000000-0005-0000-0000-0000040A0000}"/>
    <cellStyle name="Normal 3 3 3 3" xfId="230" xr:uid="{00000000-0005-0000-0000-0000050A0000}"/>
    <cellStyle name="Normal 3 3 3 3 2" xfId="530" xr:uid="{00000000-0005-0000-0000-0000060A0000}"/>
    <cellStyle name="Normal 3 3 3 3 2 2" xfId="1203" xr:uid="{00000000-0005-0000-0000-0000070A0000}"/>
    <cellStyle name="Normal 3 3 3 3 2 2 2" xfId="4568" xr:uid="{00000000-0005-0000-0000-0000080A0000}"/>
    <cellStyle name="Normal 3 3 3 3 2 2 3" xfId="3108" xr:uid="{00000000-0005-0000-0000-0000090A0000}"/>
    <cellStyle name="Normal 3 3 3 3 2 3" xfId="1721" xr:uid="{00000000-0005-0000-0000-00000A0A0000}"/>
    <cellStyle name="Normal 3 3 3 3 2 3 2" xfId="5086" xr:uid="{00000000-0005-0000-0000-00000B0A0000}"/>
    <cellStyle name="Normal 3 3 3 3 2 4" xfId="3898" xr:uid="{00000000-0005-0000-0000-00000C0A0000}"/>
    <cellStyle name="Normal 3 3 3 3 2 5" xfId="2440" xr:uid="{00000000-0005-0000-0000-00000D0A0000}"/>
    <cellStyle name="Normal 3 3 3 3 3" xfId="903" xr:uid="{00000000-0005-0000-0000-00000E0A0000}"/>
    <cellStyle name="Normal 3 3 3 3 3 2" xfId="4268" xr:uid="{00000000-0005-0000-0000-00000F0A0000}"/>
    <cellStyle name="Normal 3 3 3 3 3 3" xfId="3107" xr:uid="{00000000-0005-0000-0000-0000100A0000}"/>
    <cellStyle name="Normal 3 3 3 3 4" xfId="1722" xr:uid="{00000000-0005-0000-0000-0000110A0000}"/>
    <cellStyle name="Normal 3 3 3 3 4 2" xfId="5087" xr:uid="{00000000-0005-0000-0000-0000120A0000}"/>
    <cellStyle name="Normal 3 3 3 3 5" xfId="3598" xr:uid="{00000000-0005-0000-0000-0000130A0000}"/>
    <cellStyle name="Normal 3 3 3 3 6" xfId="2439" xr:uid="{00000000-0005-0000-0000-0000140A0000}"/>
    <cellStyle name="Normal 3 3 3 4" xfId="380" xr:uid="{00000000-0005-0000-0000-0000150A0000}"/>
    <cellStyle name="Normal 3 3 3 4 2" xfId="1053" xr:uid="{00000000-0005-0000-0000-0000160A0000}"/>
    <cellStyle name="Normal 3 3 3 4 2 2" xfId="4418" xr:uid="{00000000-0005-0000-0000-0000170A0000}"/>
    <cellStyle name="Normal 3 3 3 4 2 3" xfId="3109" xr:uid="{00000000-0005-0000-0000-0000180A0000}"/>
    <cellStyle name="Normal 3 3 3 4 3" xfId="1723" xr:uid="{00000000-0005-0000-0000-0000190A0000}"/>
    <cellStyle name="Normal 3 3 3 4 3 2" xfId="5088" xr:uid="{00000000-0005-0000-0000-00001A0A0000}"/>
    <cellStyle name="Normal 3 3 3 4 4" xfId="3748" xr:uid="{00000000-0005-0000-0000-00001B0A0000}"/>
    <cellStyle name="Normal 3 3 3 4 5" xfId="2441" xr:uid="{00000000-0005-0000-0000-00001C0A0000}"/>
    <cellStyle name="Normal 3 3 3 5" xfId="753" xr:uid="{00000000-0005-0000-0000-00001D0A0000}"/>
    <cellStyle name="Normal 3 3 3 5 2" xfId="4118" xr:uid="{00000000-0005-0000-0000-00001E0A0000}"/>
    <cellStyle name="Normal 3 3 3 5 3" xfId="2828" xr:uid="{00000000-0005-0000-0000-00001F0A0000}"/>
    <cellStyle name="Normal 3 3 3 6" xfId="1724" xr:uid="{00000000-0005-0000-0000-0000200A0000}"/>
    <cellStyle name="Normal 3 3 3 6 2" xfId="5089" xr:uid="{00000000-0005-0000-0000-0000210A0000}"/>
    <cellStyle name="Normal 3 3 3 7" xfId="3448" xr:uid="{00000000-0005-0000-0000-0000220A0000}"/>
    <cellStyle name="Normal 3 3 3 8" xfId="2160" xr:uid="{00000000-0005-0000-0000-0000230A0000}"/>
    <cellStyle name="Normal 3 3 4" xfId="67" xr:uid="{00000000-0005-0000-0000-0000240A0000}"/>
    <cellStyle name="Normal 3 3 4 2" xfId="144" xr:uid="{00000000-0005-0000-0000-0000250A0000}"/>
    <cellStyle name="Normal 3 3 4 2 2" xfId="294" xr:uid="{00000000-0005-0000-0000-0000260A0000}"/>
    <cellStyle name="Normal 3 3 4 2 2 2" xfId="594" xr:uid="{00000000-0005-0000-0000-0000270A0000}"/>
    <cellStyle name="Normal 3 3 4 2 2 2 2" xfId="1267" xr:uid="{00000000-0005-0000-0000-0000280A0000}"/>
    <cellStyle name="Normal 3 3 4 2 2 2 2 2" xfId="4632" xr:uid="{00000000-0005-0000-0000-0000290A0000}"/>
    <cellStyle name="Normal 3 3 4 2 2 2 2 3" xfId="3112" xr:uid="{00000000-0005-0000-0000-00002A0A0000}"/>
    <cellStyle name="Normal 3 3 4 2 2 2 3" xfId="1725" xr:uid="{00000000-0005-0000-0000-00002B0A0000}"/>
    <cellStyle name="Normal 3 3 4 2 2 2 3 2" xfId="5090" xr:uid="{00000000-0005-0000-0000-00002C0A0000}"/>
    <cellStyle name="Normal 3 3 4 2 2 2 4" xfId="3962" xr:uid="{00000000-0005-0000-0000-00002D0A0000}"/>
    <cellStyle name="Normal 3 3 4 2 2 2 5" xfId="2444" xr:uid="{00000000-0005-0000-0000-00002E0A0000}"/>
    <cellStyle name="Normal 3 3 4 2 2 3" xfId="967" xr:uid="{00000000-0005-0000-0000-00002F0A0000}"/>
    <cellStyle name="Normal 3 3 4 2 2 3 2" xfId="4332" xr:uid="{00000000-0005-0000-0000-0000300A0000}"/>
    <cellStyle name="Normal 3 3 4 2 2 3 3" xfId="3111" xr:uid="{00000000-0005-0000-0000-0000310A0000}"/>
    <cellStyle name="Normal 3 3 4 2 2 4" xfId="1726" xr:uid="{00000000-0005-0000-0000-0000320A0000}"/>
    <cellStyle name="Normal 3 3 4 2 2 4 2" xfId="5091" xr:uid="{00000000-0005-0000-0000-0000330A0000}"/>
    <cellStyle name="Normal 3 3 4 2 2 5" xfId="3662" xr:uid="{00000000-0005-0000-0000-0000340A0000}"/>
    <cellStyle name="Normal 3 3 4 2 2 6" xfId="2443" xr:uid="{00000000-0005-0000-0000-0000350A0000}"/>
    <cellStyle name="Normal 3 3 4 2 3" xfId="444" xr:uid="{00000000-0005-0000-0000-0000360A0000}"/>
    <cellStyle name="Normal 3 3 4 2 3 2" xfId="1117" xr:uid="{00000000-0005-0000-0000-0000370A0000}"/>
    <cellStyle name="Normal 3 3 4 2 3 2 2" xfId="4482" xr:uid="{00000000-0005-0000-0000-0000380A0000}"/>
    <cellStyle name="Normal 3 3 4 2 3 2 3" xfId="3113" xr:uid="{00000000-0005-0000-0000-0000390A0000}"/>
    <cellStyle name="Normal 3 3 4 2 3 3" xfId="1727" xr:uid="{00000000-0005-0000-0000-00003A0A0000}"/>
    <cellStyle name="Normal 3 3 4 2 3 3 2" xfId="5092" xr:uid="{00000000-0005-0000-0000-00003B0A0000}"/>
    <cellStyle name="Normal 3 3 4 2 3 4" xfId="3812" xr:uid="{00000000-0005-0000-0000-00003C0A0000}"/>
    <cellStyle name="Normal 3 3 4 2 3 5" xfId="2445" xr:uid="{00000000-0005-0000-0000-00003D0A0000}"/>
    <cellStyle name="Normal 3 3 4 2 4" xfId="817" xr:uid="{00000000-0005-0000-0000-00003E0A0000}"/>
    <cellStyle name="Normal 3 3 4 2 4 2" xfId="4182" xr:uid="{00000000-0005-0000-0000-00003F0A0000}"/>
    <cellStyle name="Normal 3 3 4 2 4 3" xfId="3110" xr:uid="{00000000-0005-0000-0000-0000400A0000}"/>
    <cellStyle name="Normal 3 3 4 2 5" xfId="1728" xr:uid="{00000000-0005-0000-0000-0000410A0000}"/>
    <cellStyle name="Normal 3 3 4 2 5 2" xfId="5093" xr:uid="{00000000-0005-0000-0000-0000420A0000}"/>
    <cellStyle name="Normal 3 3 4 2 6" xfId="3512" xr:uid="{00000000-0005-0000-0000-0000430A0000}"/>
    <cellStyle name="Normal 3 3 4 2 7" xfId="2442" xr:uid="{00000000-0005-0000-0000-0000440A0000}"/>
    <cellStyle name="Normal 3 3 4 3" xfId="219" xr:uid="{00000000-0005-0000-0000-0000450A0000}"/>
    <cellStyle name="Normal 3 3 4 3 2" xfId="519" xr:uid="{00000000-0005-0000-0000-0000460A0000}"/>
    <cellStyle name="Normal 3 3 4 3 2 2" xfId="1192" xr:uid="{00000000-0005-0000-0000-0000470A0000}"/>
    <cellStyle name="Normal 3 3 4 3 2 2 2" xfId="4557" xr:uid="{00000000-0005-0000-0000-0000480A0000}"/>
    <cellStyle name="Normal 3 3 4 3 2 2 3" xfId="3115" xr:uid="{00000000-0005-0000-0000-0000490A0000}"/>
    <cellStyle name="Normal 3 3 4 3 2 3" xfId="1729" xr:uid="{00000000-0005-0000-0000-00004A0A0000}"/>
    <cellStyle name="Normal 3 3 4 3 2 3 2" xfId="5094" xr:uid="{00000000-0005-0000-0000-00004B0A0000}"/>
    <cellStyle name="Normal 3 3 4 3 2 4" xfId="3887" xr:uid="{00000000-0005-0000-0000-00004C0A0000}"/>
    <cellStyle name="Normal 3 3 4 3 2 5" xfId="2447" xr:uid="{00000000-0005-0000-0000-00004D0A0000}"/>
    <cellStyle name="Normal 3 3 4 3 3" xfId="892" xr:uid="{00000000-0005-0000-0000-00004E0A0000}"/>
    <cellStyle name="Normal 3 3 4 3 3 2" xfId="4257" xr:uid="{00000000-0005-0000-0000-00004F0A0000}"/>
    <cellStyle name="Normal 3 3 4 3 3 3" xfId="3114" xr:uid="{00000000-0005-0000-0000-0000500A0000}"/>
    <cellStyle name="Normal 3 3 4 3 4" xfId="1730" xr:uid="{00000000-0005-0000-0000-0000510A0000}"/>
    <cellStyle name="Normal 3 3 4 3 4 2" xfId="5095" xr:uid="{00000000-0005-0000-0000-0000520A0000}"/>
    <cellStyle name="Normal 3 3 4 3 5" xfId="3587" xr:uid="{00000000-0005-0000-0000-0000530A0000}"/>
    <cellStyle name="Normal 3 3 4 3 6" xfId="2446" xr:uid="{00000000-0005-0000-0000-0000540A0000}"/>
    <cellStyle name="Normal 3 3 4 4" xfId="369" xr:uid="{00000000-0005-0000-0000-0000550A0000}"/>
    <cellStyle name="Normal 3 3 4 4 2" xfId="1042" xr:uid="{00000000-0005-0000-0000-0000560A0000}"/>
    <cellStyle name="Normal 3 3 4 4 2 2" xfId="4407" xr:uid="{00000000-0005-0000-0000-0000570A0000}"/>
    <cellStyle name="Normal 3 3 4 4 2 3" xfId="3116" xr:uid="{00000000-0005-0000-0000-0000580A0000}"/>
    <cellStyle name="Normal 3 3 4 4 3" xfId="1731" xr:uid="{00000000-0005-0000-0000-0000590A0000}"/>
    <cellStyle name="Normal 3 3 4 4 3 2" xfId="5096" xr:uid="{00000000-0005-0000-0000-00005A0A0000}"/>
    <cellStyle name="Normal 3 3 4 4 4" xfId="3737" xr:uid="{00000000-0005-0000-0000-00005B0A0000}"/>
    <cellStyle name="Normal 3 3 4 4 5" xfId="2448" xr:uid="{00000000-0005-0000-0000-00005C0A0000}"/>
    <cellStyle name="Normal 3 3 4 5" xfId="742" xr:uid="{00000000-0005-0000-0000-00005D0A0000}"/>
    <cellStyle name="Normal 3 3 4 5 2" xfId="4107" xr:uid="{00000000-0005-0000-0000-00005E0A0000}"/>
    <cellStyle name="Normal 3 3 4 5 3" xfId="2829" xr:uid="{00000000-0005-0000-0000-00005F0A0000}"/>
    <cellStyle name="Normal 3 3 4 6" xfId="1732" xr:uid="{00000000-0005-0000-0000-0000600A0000}"/>
    <cellStyle name="Normal 3 3 4 6 2" xfId="5097" xr:uid="{00000000-0005-0000-0000-0000610A0000}"/>
    <cellStyle name="Normal 3 3 4 7" xfId="3437" xr:uid="{00000000-0005-0000-0000-0000620A0000}"/>
    <cellStyle name="Normal 3 3 4 8" xfId="2161" xr:uid="{00000000-0005-0000-0000-0000630A0000}"/>
    <cellStyle name="Normal 3 3 5" xfId="137" xr:uid="{00000000-0005-0000-0000-0000640A0000}"/>
    <cellStyle name="Normal 3 3 5 2" xfId="287" xr:uid="{00000000-0005-0000-0000-0000650A0000}"/>
    <cellStyle name="Normal 3 3 5 2 2" xfId="587" xr:uid="{00000000-0005-0000-0000-0000660A0000}"/>
    <cellStyle name="Normal 3 3 5 2 2 2" xfId="1260" xr:uid="{00000000-0005-0000-0000-0000670A0000}"/>
    <cellStyle name="Normal 3 3 5 2 2 2 2" xfId="4625" xr:uid="{00000000-0005-0000-0000-0000680A0000}"/>
    <cellStyle name="Normal 3 3 5 2 2 2 3" xfId="3119" xr:uid="{00000000-0005-0000-0000-0000690A0000}"/>
    <cellStyle name="Normal 3 3 5 2 2 3" xfId="1733" xr:uid="{00000000-0005-0000-0000-00006A0A0000}"/>
    <cellStyle name="Normal 3 3 5 2 2 3 2" xfId="5098" xr:uid="{00000000-0005-0000-0000-00006B0A0000}"/>
    <cellStyle name="Normal 3 3 5 2 2 4" xfId="3955" xr:uid="{00000000-0005-0000-0000-00006C0A0000}"/>
    <cellStyle name="Normal 3 3 5 2 2 5" xfId="2451" xr:uid="{00000000-0005-0000-0000-00006D0A0000}"/>
    <cellStyle name="Normal 3 3 5 2 3" xfId="960" xr:uid="{00000000-0005-0000-0000-00006E0A0000}"/>
    <cellStyle name="Normal 3 3 5 2 3 2" xfId="4325" xr:uid="{00000000-0005-0000-0000-00006F0A0000}"/>
    <cellStyle name="Normal 3 3 5 2 3 3" xfId="3118" xr:uid="{00000000-0005-0000-0000-0000700A0000}"/>
    <cellStyle name="Normal 3 3 5 2 4" xfId="1734" xr:uid="{00000000-0005-0000-0000-0000710A0000}"/>
    <cellStyle name="Normal 3 3 5 2 4 2" xfId="5099" xr:uid="{00000000-0005-0000-0000-0000720A0000}"/>
    <cellStyle name="Normal 3 3 5 2 5" xfId="3655" xr:uid="{00000000-0005-0000-0000-0000730A0000}"/>
    <cellStyle name="Normal 3 3 5 2 6" xfId="2450" xr:uid="{00000000-0005-0000-0000-0000740A0000}"/>
    <cellStyle name="Normal 3 3 5 3" xfId="437" xr:uid="{00000000-0005-0000-0000-0000750A0000}"/>
    <cellStyle name="Normal 3 3 5 3 2" xfId="1110" xr:uid="{00000000-0005-0000-0000-0000760A0000}"/>
    <cellStyle name="Normal 3 3 5 3 2 2" xfId="4475" xr:uid="{00000000-0005-0000-0000-0000770A0000}"/>
    <cellStyle name="Normal 3 3 5 3 2 3" xfId="3120" xr:uid="{00000000-0005-0000-0000-0000780A0000}"/>
    <cellStyle name="Normal 3 3 5 3 3" xfId="1735" xr:uid="{00000000-0005-0000-0000-0000790A0000}"/>
    <cellStyle name="Normal 3 3 5 3 3 2" xfId="5100" xr:uid="{00000000-0005-0000-0000-00007A0A0000}"/>
    <cellStyle name="Normal 3 3 5 3 4" xfId="3805" xr:uid="{00000000-0005-0000-0000-00007B0A0000}"/>
    <cellStyle name="Normal 3 3 5 3 5" xfId="2452" xr:uid="{00000000-0005-0000-0000-00007C0A0000}"/>
    <cellStyle name="Normal 3 3 5 4" xfId="810" xr:uid="{00000000-0005-0000-0000-00007D0A0000}"/>
    <cellStyle name="Normal 3 3 5 4 2" xfId="4175" xr:uid="{00000000-0005-0000-0000-00007E0A0000}"/>
    <cellStyle name="Normal 3 3 5 4 3" xfId="3117" xr:uid="{00000000-0005-0000-0000-00007F0A0000}"/>
    <cellStyle name="Normal 3 3 5 5" xfId="1736" xr:uid="{00000000-0005-0000-0000-0000800A0000}"/>
    <cellStyle name="Normal 3 3 5 5 2" xfId="5101" xr:uid="{00000000-0005-0000-0000-0000810A0000}"/>
    <cellStyle name="Normal 3 3 5 6" xfId="3505" xr:uid="{00000000-0005-0000-0000-0000820A0000}"/>
    <cellStyle name="Normal 3 3 5 7" xfId="2449" xr:uid="{00000000-0005-0000-0000-0000830A0000}"/>
    <cellStyle name="Normal 3 3 6" xfId="212" xr:uid="{00000000-0005-0000-0000-0000840A0000}"/>
    <cellStyle name="Normal 3 3 6 2" xfId="512" xr:uid="{00000000-0005-0000-0000-0000850A0000}"/>
    <cellStyle name="Normal 3 3 6 2 2" xfId="1185" xr:uid="{00000000-0005-0000-0000-0000860A0000}"/>
    <cellStyle name="Normal 3 3 6 2 2 2" xfId="4550" xr:uid="{00000000-0005-0000-0000-0000870A0000}"/>
    <cellStyle name="Normal 3 3 6 2 2 3" xfId="3122" xr:uid="{00000000-0005-0000-0000-0000880A0000}"/>
    <cellStyle name="Normal 3 3 6 2 3" xfId="1737" xr:uid="{00000000-0005-0000-0000-0000890A0000}"/>
    <cellStyle name="Normal 3 3 6 2 3 2" xfId="5102" xr:uid="{00000000-0005-0000-0000-00008A0A0000}"/>
    <cellStyle name="Normal 3 3 6 2 4" xfId="3880" xr:uid="{00000000-0005-0000-0000-00008B0A0000}"/>
    <cellStyle name="Normal 3 3 6 2 5" xfId="2454" xr:uid="{00000000-0005-0000-0000-00008C0A0000}"/>
    <cellStyle name="Normal 3 3 6 3" xfId="885" xr:uid="{00000000-0005-0000-0000-00008D0A0000}"/>
    <cellStyle name="Normal 3 3 6 3 2" xfId="4250" xr:uid="{00000000-0005-0000-0000-00008E0A0000}"/>
    <cellStyle name="Normal 3 3 6 3 3" xfId="3121" xr:uid="{00000000-0005-0000-0000-00008F0A0000}"/>
    <cellStyle name="Normal 3 3 6 4" xfId="1738" xr:uid="{00000000-0005-0000-0000-0000900A0000}"/>
    <cellStyle name="Normal 3 3 6 4 2" xfId="5103" xr:uid="{00000000-0005-0000-0000-0000910A0000}"/>
    <cellStyle name="Normal 3 3 6 5" xfId="3580" xr:uid="{00000000-0005-0000-0000-0000920A0000}"/>
    <cellStyle name="Normal 3 3 6 6" xfId="2453" xr:uid="{00000000-0005-0000-0000-0000930A0000}"/>
    <cellStyle name="Normal 3 3 7" xfId="362" xr:uid="{00000000-0005-0000-0000-0000940A0000}"/>
    <cellStyle name="Normal 3 3 7 2" xfId="1035" xr:uid="{00000000-0005-0000-0000-0000950A0000}"/>
    <cellStyle name="Normal 3 3 7 2 2" xfId="4400" xr:uid="{00000000-0005-0000-0000-0000960A0000}"/>
    <cellStyle name="Normal 3 3 7 2 3" xfId="3123" xr:uid="{00000000-0005-0000-0000-0000970A0000}"/>
    <cellStyle name="Normal 3 3 7 3" xfId="1739" xr:uid="{00000000-0005-0000-0000-0000980A0000}"/>
    <cellStyle name="Normal 3 3 7 3 2" xfId="5104" xr:uid="{00000000-0005-0000-0000-0000990A0000}"/>
    <cellStyle name="Normal 3 3 7 4" xfId="3730" xr:uid="{00000000-0005-0000-0000-00009A0A0000}"/>
    <cellStyle name="Normal 3 3 7 5" xfId="2455" xr:uid="{00000000-0005-0000-0000-00009B0A0000}"/>
    <cellStyle name="Normal 3 3 8" xfId="666" xr:uid="{00000000-0005-0000-0000-00009C0A0000}"/>
    <cellStyle name="Normal 3 3 8 2" xfId="1339" xr:uid="{00000000-0005-0000-0000-00009D0A0000}"/>
    <cellStyle name="Normal 3 3 8 2 2" xfId="4704" xr:uid="{00000000-0005-0000-0000-00009E0A0000}"/>
    <cellStyle name="Normal 3 3 8 2 3" xfId="3124" xr:uid="{00000000-0005-0000-0000-00009F0A0000}"/>
    <cellStyle name="Normal 3 3 8 3" xfId="1740" xr:uid="{00000000-0005-0000-0000-0000A00A0000}"/>
    <cellStyle name="Normal 3 3 8 3 2" xfId="5105" xr:uid="{00000000-0005-0000-0000-0000A10A0000}"/>
    <cellStyle name="Normal 3 3 8 4" xfId="4034" xr:uid="{00000000-0005-0000-0000-0000A20A0000}"/>
    <cellStyle name="Normal 3 3 8 5" xfId="2456" xr:uid="{00000000-0005-0000-0000-0000A30A0000}"/>
    <cellStyle name="Normal 3 3 9" xfId="735" xr:uid="{00000000-0005-0000-0000-0000A40A0000}"/>
    <cellStyle name="Normal 3 3 9 2" xfId="4100" xr:uid="{00000000-0005-0000-0000-0000A50A0000}"/>
    <cellStyle name="Normal 3 3 9 3" xfId="2763" xr:uid="{00000000-0005-0000-0000-0000A60A0000}"/>
    <cellStyle name="Normal 3 4" xfId="83" xr:uid="{00000000-0005-0000-0000-0000A70A0000}"/>
    <cellStyle name="Normal 3 4 10" xfId="2099" xr:uid="{00000000-0005-0000-0000-0000A80A0000}"/>
    <cellStyle name="Normal 3 4 2" xfId="110" xr:uid="{00000000-0005-0000-0000-0000A90A0000}"/>
    <cellStyle name="Normal 3 4 2 2" xfId="185" xr:uid="{00000000-0005-0000-0000-0000AA0A0000}"/>
    <cellStyle name="Normal 3 4 2 2 2" xfId="335" xr:uid="{00000000-0005-0000-0000-0000AB0A0000}"/>
    <cellStyle name="Normal 3 4 2 2 2 2" xfId="635" xr:uid="{00000000-0005-0000-0000-0000AC0A0000}"/>
    <cellStyle name="Normal 3 4 2 2 2 2 2" xfId="1308" xr:uid="{00000000-0005-0000-0000-0000AD0A0000}"/>
    <cellStyle name="Normal 3 4 2 2 2 2 2 2" xfId="4673" xr:uid="{00000000-0005-0000-0000-0000AE0A0000}"/>
    <cellStyle name="Normal 3 4 2 2 2 2 2 3" xfId="3127" xr:uid="{00000000-0005-0000-0000-0000AF0A0000}"/>
    <cellStyle name="Normal 3 4 2 2 2 2 3" xfId="1741" xr:uid="{00000000-0005-0000-0000-0000B00A0000}"/>
    <cellStyle name="Normal 3 4 2 2 2 2 3 2" xfId="5106" xr:uid="{00000000-0005-0000-0000-0000B10A0000}"/>
    <cellStyle name="Normal 3 4 2 2 2 2 4" xfId="4003" xr:uid="{00000000-0005-0000-0000-0000B20A0000}"/>
    <cellStyle name="Normal 3 4 2 2 2 2 5" xfId="2459" xr:uid="{00000000-0005-0000-0000-0000B30A0000}"/>
    <cellStyle name="Normal 3 4 2 2 2 3" xfId="1008" xr:uid="{00000000-0005-0000-0000-0000B40A0000}"/>
    <cellStyle name="Normal 3 4 2 2 2 3 2" xfId="4373" xr:uid="{00000000-0005-0000-0000-0000B50A0000}"/>
    <cellStyle name="Normal 3 4 2 2 2 3 3" xfId="3126" xr:uid="{00000000-0005-0000-0000-0000B60A0000}"/>
    <cellStyle name="Normal 3 4 2 2 2 4" xfId="1742" xr:uid="{00000000-0005-0000-0000-0000B70A0000}"/>
    <cellStyle name="Normal 3 4 2 2 2 4 2" xfId="5107" xr:uid="{00000000-0005-0000-0000-0000B80A0000}"/>
    <cellStyle name="Normal 3 4 2 2 2 5" xfId="3703" xr:uid="{00000000-0005-0000-0000-0000B90A0000}"/>
    <cellStyle name="Normal 3 4 2 2 2 6" xfId="2458" xr:uid="{00000000-0005-0000-0000-0000BA0A0000}"/>
    <cellStyle name="Normal 3 4 2 2 3" xfId="485" xr:uid="{00000000-0005-0000-0000-0000BB0A0000}"/>
    <cellStyle name="Normal 3 4 2 2 3 2" xfId="1158" xr:uid="{00000000-0005-0000-0000-0000BC0A0000}"/>
    <cellStyle name="Normal 3 4 2 2 3 2 2" xfId="4523" xr:uid="{00000000-0005-0000-0000-0000BD0A0000}"/>
    <cellStyle name="Normal 3 4 2 2 3 2 3" xfId="3128" xr:uid="{00000000-0005-0000-0000-0000BE0A0000}"/>
    <cellStyle name="Normal 3 4 2 2 3 3" xfId="1743" xr:uid="{00000000-0005-0000-0000-0000BF0A0000}"/>
    <cellStyle name="Normal 3 4 2 2 3 3 2" xfId="5108" xr:uid="{00000000-0005-0000-0000-0000C00A0000}"/>
    <cellStyle name="Normal 3 4 2 2 3 4" xfId="3853" xr:uid="{00000000-0005-0000-0000-0000C10A0000}"/>
    <cellStyle name="Normal 3 4 2 2 3 5" xfId="2460" xr:uid="{00000000-0005-0000-0000-0000C20A0000}"/>
    <cellStyle name="Normal 3 4 2 2 4" xfId="858" xr:uid="{00000000-0005-0000-0000-0000C30A0000}"/>
    <cellStyle name="Normal 3 4 2 2 4 2" xfId="4223" xr:uid="{00000000-0005-0000-0000-0000C40A0000}"/>
    <cellStyle name="Normal 3 4 2 2 4 3" xfId="3125" xr:uid="{00000000-0005-0000-0000-0000C50A0000}"/>
    <cellStyle name="Normal 3 4 2 2 5" xfId="1744" xr:uid="{00000000-0005-0000-0000-0000C60A0000}"/>
    <cellStyle name="Normal 3 4 2 2 5 2" xfId="5109" xr:uid="{00000000-0005-0000-0000-0000C70A0000}"/>
    <cellStyle name="Normal 3 4 2 2 6" xfId="3553" xr:uid="{00000000-0005-0000-0000-0000C80A0000}"/>
    <cellStyle name="Normal 3 4 2 2 7" xfId="2457" xr:uid="{00000000-0005-0000-0000-0000C90A0000}"/>
    <cellStyle name="Normal 3 4 2 3" xfId="260" xr:uid="{00000000-0005-0000-0000-0000CA0A0000}"/>
    <cellStyle name="Normal 3 4 2 3 2" xfId="560" xr:uid="{00000000-0005-0000-0000-0000CB0A0000}"/>
    <cellStyle name="Normal 3 4 2 3 2 2" xfId="1233" xr:uid="{00000000-0005-0000-0000-0000CC0A0000}"/>
    <cellStyle name="Normal 3 4 2 3 2 2 2" xfId="4598" xr:uid="{00000000-0005-0000-0000-0000CD0A0000}"/>
    <cellStyle name="Normal 3 4 2 3 2 2 3" xfId="3130" xr:uid="{00000000-0005-0000-0000-0000CE0A0000}"/>
    <cellStyle name="Normal 3 4 2 3 2 3" xfId="1745" xr:uid="{00000000-0005-0000-0000-0000CF0A0000}"/>
    <cellStyle name="Normal 3 4 2 3 2 3 2" xfId="5110" xr:uid="{00000000-0005-0000-0000-0000D00A0000}"/>
    <cellStyle name="Normal 3 4 2 3 2 4" xfId="3928" xr:uid="{00000000-0005-0000-0000-0000D10A0000}"/>
    <cellStyle name="Normal 3 4 2 3 2 5" xfId="2462" xr:uid="{00000000-0005-0000-0000-0000D20A0000}"/>
    <cellStyle name="Normal 3 4 2 3 3" xfId="933" xr:uid="{00000000-0005-0000-0000-0000D30A0000}"/>
    <cellStyle name="Normal 3 4 2 3 3 2" xfId="4298" xr:uid="{00000000-0005-0000-0000-0000D40A0000}"/>
    <cellStyle name="Normal 3 4 2 3 3 3" xfId="3129" xr:uid="{00000000-0005-0000-0000-0000D50A0000}"/>
    <cellStyle name="Normal 3 4 2 3 4" xfId="1746" xr:uid="{00000000-0005-0000-0000-0000D60A0000}"/>
    <cellStyle name="Normal 3 4 2 3 4 2" xfId="5111" xr:uid="{00000000-0005-0000-0000-0000D70A0000}"/>
    <cellStyle name="Normal 3 4 2 3 5" xfId="3628" xr:uid="{00000000-0005-0000-0000-0000D80A0000}"/>
    <cellStyle name="Normal 3 4 2 3 6" xfId="2461" xr:uid="{00000000-0005-0000-0000-0000D90A0000}"/>
    <cellStyle name="Normal 3 4 2 4" xfId="410" xr:uid="{00000000-0005-0000-0000-0000DA0A0000}"/>
    <cellStyle name="Normal 3 4 2 4 2" xfId="1083" xr:uid="{00000000-0005-0000-0000-0000DB0A0000}"/>
    <cellStyle name="Normal 3 4 2 4 2 2" xfId="4448" xr:uid="{00000000-0005-0000-0000-0000DC0A0000}"/>
    <cellStyle name="Normal 3 4 2 4 2 3" xfId="3131" xr:uid="{00000000-0005-0000-0000-0000DD0A0000}"/>
    <cellStyle name="Normal 3 4 2 4 3" xfId="1747" xr:uid="{00000000-0005-0000-0000-0000DE0A0000}"/>
    <cellStyle name="Normal 3 4 2 4 3 2" xfId="5112" xr:uid="{00000000-0005-0000-0000-0000DF0A0000}"/>
    <cellStyle name="Normal 3 4 2 4 4" xfId="3778" xr:uid="{00000000-0005-0000-0000-0000E00A0000}"/>
    <cellStyle name="Normal 3 4 2 4 5" xfId="2463" xr:uid="{00000000-0005-0000-0000-0000E10A0000}"/>
    <cellStyle name="Normal 3 4 2 5" xfId="696" xr:uid="{00000000-0005-0000-0000-0000E20A0000}"/>
    <cellStyle name="Normal 3 4 2 5 2" xfId="1369" xr:uid="{00000000-0005-0000-0000-0000E30A0000}"/>
    <cellStyle name="Normal 3 4 2 5 2 2" xfId="4734" xr:uid="{00000000-0005-0000-0000-0000E40A0000}"/>
    <cellStyle name="Normal 3 4 2 5 2 3" xfId="3132" xr:uid="{00000000-0005-0000-0000-0000E50A0000}"/>
    <cellStyle name="Normal 3 4 2 5 3" xfId="1748" xr:uid="{00000000-0005-0000-0000-0000E60A0000}"/>
    <cellStyle name="Normal 3 4 2 5 3 2" xfId="5113" xr:uid="{00000000-0005-0000-0000-0000E70A0000}"/>
    <cellStyle name="Normal 3 4 2 5 4" xfId="4064" xr:uid="{00000000-0005-0000-0000-0000E80A0000}"/>
    <cellStyle name="Normal 3 4 2 5 5" xfId="2464" xr:uid="{00000000-0005-0000-0000-0000E90A0000}"/>
    <cellStyle name="Normal 3 4 2 6" xfId="783" xr:uid="{00000000-0005-0000-0000-0000EA0A0000}"/>
    <cellStyle name="Normal 3 4 2 6 2" xfId="4148" xr:uid="{00000000-0005-0000-0000-0000EB0A0000}"/>
    <cellStyle name="Normal 3 4 2 6 3" xfId="2796" xr:uid="{00000000-0005-0000-0000-0000EC0A0000}"/>
    <cellStyle name="Normal 3 4 2 7" xfId="1749" xr:uid="{00000000-0005-0000-0000-0000ED0A0000}"/>
    <cellStyle name="Normal 3 4 2 7 2" xfId="5114" xr:uid="{00000000-0005-0000-0000-0000EE0A0000}"/>
    <cellStyle name="Normal 3 4 2 8" xfId="3478" xr:uid="{00000000-0005-0000-0000-0000EF0A0000}"/>
    <cellStyle name="Normal 3 4 2 9" xfId="2125" xr:uid="{00000000-0005-0000-0000-0000F00A0000}"/>
    <cellStyle name="Normal 3 4 3" xfId="159" xr:uid="{00000000-0005-0000-0000-0000F10A0000}"/>
    <cellStyle name="Normal 3 4 3 2" xfId="309" xr:uid="{00000000-0005-0000-0000-0000F20A0000}"/>
    <cellStyle name="Normal 3 4 3 2 2" xfId="609" xr:uid="{00000000-0005-0000-0000-0000F30A0000}"/>
    <cellStyle name="Normal 3 4 3 2 2 2" xfId="1282" xr:uid="{00000000-0005-0000-0000-0000F40A0000}"/>
    <cellStyle name="Normal 3 4 3 2 2 2 2" xfId="4647" xr:uid="{00000000-0005-0000-0000-0000F50A0000}"/>
    <cellStyle name="Normal 3 4 3 2 2 2 3" xfId="3135" xr:uid="{00000000-0005-0000-0000-0000F60A0000}"/>
    <cellStyle name="Normal 3 4 3 2 2 3" xfId="1750" xr:uid="{00000000-0005-0000-0000-0000F70A0000}"/>
    <cellStyle name="Normal 3 4 3 2 2 3 2" xfId="5115" xr:uid="{00000000-0005-0000-0000-0000F80A0000}"/>
    <cellStyle name="Normal 3 4 3 2 2 4" xfId="3977" xr:uid="{00000000-0005-0000-0000-0000F90A0000}"/>
    <cellStyle name="Normal 3 4 3 2 2 5" xfId="2467" xr:uid="{00000000-0005-0000-0000-0000FA0A0000}"/>
    <cellStyle name="Normal 3 4 3 2 3" xfId="982" xr:uid="{00000000-0005-0000-0000-0000FB0A0000}"/>
    <cellStyle name="Normal 3 4 3 2 3 2" xfId="4347" xr:uid="{00000000-0005-0000-0000-0000FC0A0000}"/>
    <cellStyle name="Normal 3 4 3 2 3 3" xfId="3134" xr:uid="{00000000-0005-0000-0000-0000FD0A0000}"/>
    <cellStyle name="Normal 3 4 3 2 4" xfId="1751" xr:uid="{00000000-0005-0000-0000-0000FE0A0000}"/>
    <cellStyle name="Normal 3 4 3 2 4 2" xfId="5116" xr:uid="{00000000-0005-0000-0000-0000FF0A0000}"/>
    <cellStyle name="Normal 3 4 3 2 5" xfId="3677" xr:uid="{00000000-0005-0000-0000-0000000B0000}"/>
    <cellStyle name="Normal 3 4 3 2 6" xfId="2466" xr:uid="{00000000-0005-0000-0000-0000010B0000}"/>
    <cellStyle name="Normal 3 4 3 3" xfId="459" xr:uid="{00000000-0005-0000-0000-0000020B0000}"/>
    <cellStyle name="Normal 3 4 3 3 2" xfId="1132" xr:uid="{00000000-0005-0000-0000-0000030B0000}"/>
    <cellStyle name="Normal 3 4 3 3 2 2" xfId="4497" xr:uid="{00000000-0005-0000-0000-0000040B0000}"/>
    <cellStyle name="Normal 3 4 3 3 2 3" xfId="3136" xr:uid="{00000000-0005-0000-0000-0000050B0000}"/>
    <cellStyle name="Normal 3 4 3 3 3" xfId="1752" xr:uid="{00000000-0005-0000-0000-0000060B0000}"/>
    <cellStyle name="Normal 3 4 3 3 3 2" xfId="5117" xr:uid="{00000000-0005-0000-0000-0000070B0000}"/>
    <cellStyle name="Normal 3 4 3 3 4" xfId="3827" xr:uid="{00000000-0005-0000-0000-0000080B0000}"/>
    <cellStyle name="Normal 3 4 3 3 5" xfId="2468" xr:uid="{00000000-0005-0000-0000-0000090B0000}"/>
    <cellStyle name="Normal 3 4 3 4" xfId="832" xr:uid="{00000000-0005-0000-0000-00000A0B0000}"/>
    <cellStyle name="Normal 3 4 3 4 2" xfId="4197" xr:uid="{00000000-0005-0000-0000-00000B0B0000}"/>
    <cellStyle name="Normal 3 4 3 4 3" xfId="3133" xr:uid="{00000000-0005-0000-0000-00000C0B0000}"/>
    <cellStyle name="Normal 3 4 3 5" xfId="1753" xr:uid="{00000000-0005-0000-0000-00000D0B0000}"/>
    <cellStyle name="Normal 3 4 3 5 2" xfId="5118" xr:uid="{00000000-0005-0000-0000-00000E0B0000}"/>
    <cellStyle name="Normal 3 4 3 6" xfId="3527" xr:uid="{00000000-0005-0000-0000-00000F0B0000}"/>
    <cellStyle name="Normal 3 4 3 7" xfId="2465" xr:uid="{00000000-0005-0000-0000-0000100B0000}"/>
    <cellStyle name="Normal 3 4 4" xfId="234" xr:uid="{00000000-0005-0000-0000-0000110B0000}"/>
    <cellStyle name="Normal 3 4 4 2" xfId="534" xr:uid="{00000000-0005-0000-0000-0000120B0000}"/>
    <cellStyle name="Normal 3 4 4 2 2" xfId="1207" xr:uid="{00000000-0005-0000-0000-0000130B0000}"/>
    <cellStyle name="Normal 3 4 4 2 2 2" xfId="4572" xr:uid="{00000000-0005-0000-0000-0000140B0000}"/>
    <cellStyle name="Normal 3 4 4 2 2 3" xfId="3138" xr:uid="{00000000-0005-0000-0000-0000150B0000}"/>
    <cellStyle name="Normal 3 4 4 2 3" xfId="1754" xr:uid="{00000000-0005-0000-0000-0000160B0000}"/>
    <cellStyle name="Normal 3 4 4 2 3 2" xfId="5119" xr:uid="{00000000-0005-0000-0000-0000170B0000}"/>
    <cellStyle name="Normal 3 4 4 2 4" xfId="3902" xr:uid="{00000000-0005-0000-0000-0000180B0000}"/>
    <cellStyle name="Normal 3 4 4 2 5" xfId="2470" xr:uid="{00000000-0005-0000-0000-0000190B0000}"/>
    <cellStyle name="Normal 3 4 4 3" xfId="907" xr:uid="{00000000-0005-0000-0000-00001A0B0000}"/>
    <cellStyle name="Normal 3 4 4 3 2" xfId="4272" xr:uid="{00000000-0005-0000-0000-00001B0B0000}"/>
    <cellStyle name="Normal 3 4 4 3 3" xfId="3137" xr:uid="{00000000-0005-0000-0000-00001C0B0000}"/>
    <cellStyle name="Normal 3 4 4 4" xfId="1755" xr:uid="{00000000-0005-0000-0000-00001D0B0000}"/>
    <cellStyle name="Normal 3 4 4 4 2" xfId="5120" xr:uid="{00000000-0005-0000-0000-00001E0B0000}"/>
    <cellStyle name="Normal 3 4 4 5" xfId="3602" xr:uid="{00000000-0005-0000-0000-00001F0B0000}"/>
    <cellStyle name="Normal 3 4 4 6" xfId="2469" xr:uid="{00000000-0005-0000-0000-0000200B0000}"/>
    <cellStyle name="Normal 3 4 5" xfId="384" xr:uid="{00000000-0005-0000-0000-0000210B0000}"/>
    <cellStyle name="Normal 3 4 5 2" xfId="1057" xr:uid="{00000000-0005-0000-0000-0000220B0000}"/>
    <cellStyle name="Normal 3 4 5 2 2" xfId="4422" xr:uid="{00000000-0005-0000-0000-0000230B0000}"/>
    <cellStyle name="Normal 3 4 5 2 3" xfId="3139" xr:uid="{00000000-0005-0000-0000-0000240B0000}"/>
    <cellStyle name="Normal 3 4 5 3" xfId="1756" xr:uid="{00000000-0005-0000-0000-0000250B0000}"/>
    <cellStyle name="Normal 3 4 5 3 2" xfId="5121" xr:uid="{00000000-0005-0000-0000-0000260B0000}"/>
    <cellStyle name="Normal 3 4 5 4" xfId="3752" xr:uid="{00000000-0005-0000-0000-0000270B0000}"/>
    <cellStyle name="Normal 3 4 5 5" xfId="2471" xr:uid="{00000000-0005-0000-0000-0000280B0000}"/>
    <cellStyle name="Normal 3 4 6" xfId="670" xr:uid="{00000000-0005-0000-0000-0000290B0000}"/>
    <cellStyle name="Normal 3 4 6 2" xfId="1343" xr:uid="{00000000-0005-0000-0000-00002A0B0000}"/>
    <cellStyle name="Normal 3 4 6 2 2" xfId="4708" xr:uid="{00000000-0005-0000-0000-00002B0B0000}"/>
    <cellStyle name="Normal 3 4 6 2 3" xfId="3140" xr:uid="{00000000-0005-0000-0000-00002C0B0000}"/>
    <cellStyle name="Normal 3 4 6 3" xfId="1757" xr:uid="{00000000-0005-0000-0000-00002D0B0000}"/>
    <cellStyle name="Normal 3 4 6 3 2" xfId="5122" xr:uid="{00000000-0005-0000-0000-00002E0B0000}"/>
    <cellStyle name="Normal 3 4 6 4" xfId="4038" xr:uid="{00000000-0005-0000-0000-00002F0B0000}"/>
    <cellStyle name="Normal 3 4 6 5" xfId="2472" xr:uid="{00000000-0005-0000-0000-0000300B0000}"/>
    <cellStyle name="Normal 3 4 7" xfId="757" xr:uid="{00000000-0005-0000-0000-0000310B0000}"/>
    <cellStyle name="Normal 3 4 7 2" xfId="4122" xr:uid="{00000000-0005-0000-0000-0000320B0000}"/>
    <cellStyle name="Normal 3 4 7 3" xfId="2770" xr:uid="{00000000-0005-0000-0000-0000330B0000}"/>
    <cellStyle name="Normal 3 4 8" xfId="1758" xr:uid="{00000000-0005-0000-0000-0000340B0000}"/>
    <cellStyle name="Normal 3 4 8 2" xfId="5123" xr:uid="{00000000-0005-0000-0000-0000350B0000}"/>
    <cellStyle name="Normal 3 4 9" xfId="3452" xr:uid="{00000000-0005-0000-0000-0000360B0000}"/>
    <cellStyle name="Normal 3 5" xfId="93" xr:uid="{00000000-0005-0000-0000-0000370B0000}"/>
    <cellStyle name="Normal 3 5 10" xfId="2108" xr:uid="{00000000-0005-0000-0000-0000380B0000}"/>
    <cellStyle name="Normal 3 5 2" xfId="119" xr:uid="{00000000-0005-0000-0000-0000390B0000}"/>
    <cellStyle name="Normal 3 5 2 2" xfId="194" xr:uid="{00000000-0005-0000-0000-00003A0B0000}"/>
    <cellStyle name="Normal 3 5 2 2 2" xfId="344" xr:uid="{00000000-0005-0000-0000-00003B0B0000}"/>
    <cellStyle name="Normal 3 5 2 2 2 2" xfId="644" xr:uid="{00000000-0005-0000-0000-00003C0B0000}"/>
    <cellStyle name="Normal 3 5 2 2 2 2 2" xfId="1317" xr:uid="{00000000-0005-0000-0000-00003D0B0000}"/>
    <cellStyle name="Normal 3 5 2 2 2 2 2 2" xfId="4682" xr:uid="{00000000-0005-0000-0000-00003E0B0000}"/>
    <cellStyle name="Normal 3 5 2 2 2 2 2 3" xfId="3143" xr:uid="{00000000-0005-0000-0000-00003F0B0000}"/>
    <cellStyle name="Normal 3 5 2 2 2 2 3" xfId="1759" xr:uid="{00000000-0005-0000-0000-0000400B0000}"/>
    <cellStyle name="Normal 3 5 2 2 2 2 3 2" xfId="5124" xr:uid="{00000000-0005-0000-0000-0000410B0000}"/>
    <cellStyle name="Normal 3 5 2 2 2 2 4" xfId="4012" xr:uid="{00000000-0005-0000-0000-0000420B0000}"/>
    <cellStyle name="Normal 3 5 2 2 2 2 5" xfId="2475" xr:uid="{00000000-0005-0000-0000-0000430B0000}"/>
    <cellStyle name="Normal 3 5 2 2 2 3" xfId="1017" xr:uid="{00000000-0005-0000-0000-0000440B0000}"/>
    <cellStyle name="Normal 3 5 2 2 2 3 2" xfId="4382" xr:uid="{00000000-0005-0000-0000-0000450B0000}"/>
    <cellStyle name="Normal 3 5 2 2 2 3 3" xfId="3142" xr:uid="{00000000-0005-0000-0000-0000460B0000}"/>
    <cellStyle name="Normal 3 5 2 2 2 4" xfId="1760" xr:uid="{00000000-0005-0000-0000-0000470B0000}"/>
    <cellStyle name="Normal 3 5 2 2 2 4 2" xfId="5125" xr:uid="{00000000-0005-0000-0000-0000480B0000}"/>
    <cellStyle name="Normal 3 5 2 2 2 5" xfId="3712" xr:uid="{00000000-0005-0000-0000-0000490B0000}"/>
    <cellStyle name="Normal 3 5 2 2 2 6" xfId="2474" xr:uid="{00000000-0005-0000-0000-00004A0B0000}"/>
    <cellStyle name="Normal 3 5 2 2 3" xfId="494" xr:uid="{00000000-0005-0000-0000-00004B0B0000}"/>
    <cellStyle name="Normal 3 5 2 2 3 2" xfId="1167" xr:uid="{00000000-0005-0000-0000-00004C0B0000}"/>
    <cellStyle name="Normal 3 5 2 2 3 2 2" xfId="4532" xr:uid="{00000000-0005-0000-0000-00004D0B0000}"/>
    <cellStyle name="Normal 3 5 2 2 3 2 3" xfId="3144" xr:uid="{00000000-0005-0000-0000-00004E0B0000}"/>
    <cellStyle name="Normal 3 5 2 2 3 3" xfId="1761" xr:uid="{00000000-0005-0000-0000-00004F0B0000}"/>
    <cellStyle name="Normal 3 5 2 2 3 3 2" xfId="5126" xr:uid="{00000000-0005-0000-0000-0000500B0000}"/>
    <cellStyle name="Normal 3 5 2 2 3 4" xfId="3862" xr:uid="{00000000-0005-0000-0000-0000510B0000}"/>
    <cellStyle name="Normal 3 5 2 2 3 5" xfId="2476" xr:uid="{00000000-0005-0000-0000-0000520B0000}"/>
    <cellStyle name="Normal 3 5 2 2 4" xfId="867" xr:uid="{00000000-0005-0000-0000-0000530B0000}"/>
    <cellStyle name="Normal 3 5 2 2 4 2" xfId="4232" xr:uid="{00000000-0005-0000-0000-0000540B0000}"/>
    <cellStyle name="Normal 3 5 2 2 4 3" xfId="3141" xr:uid="{00000000-0005-0000-0000-0000550B0000}"/>
    <cellStyle name="Normal 3 5 2 2 5" xfId="1762" xr:uid="{00000000-0005-0000-0000-0000560B0000}"/>
    <cellStyle name="Normal 3 5 2 2 5 2" xfId="5127" xr:uid="{00000000-0005-0000-0000-0000570B0000}"/>
    <cellStyle name="Normal 3 5 2 2 6" xfId="3562" xr:uid="{00000000-0005-0000-0000-0000580B0000}"/>
    <cellStyle name="Normal 3 5 2 2 7" xfId="2473" xr:uid="{00000000-0005-0000-0000-0000590B0000}"/>
    <cellStyle name="Normal 3 5 2 3" xfId="269" xr:uid="{00000000-0005-0000-0000-00005A0B0000}"/>
    <cellStyle name="Normal 3 5 2 3 2" xfId="569" xr:uid="{00000000-0005-0000-0000-00005B0B0000}"/>
    <cellStyle name="Normal 3 5 2 3 2 2" xfId="1242" xr:uid="{00000000-0005-0000-0000-00005C0B0000}"/>
    <cellStyle name="Normal 3 5 2 3 2 2 2" xfId="4607" xr:uid="{00000000-0005-0000-0000-00005D0B0000}"/>
    <cellStyle name="Normal 3 5 2 3 2 2 3" xfId="3146" xr:uid="{00000000-0005-0000-0000-00005E0B0000}"/>
    <cellStyle name="Normal 3 5 2 3 2 3" xfId="1763" xr:uid="{00000000-0005-0000-0000-00005F0B0000}"/>
    <cellStyle name="Normal 3 5 2 3 2 3 2" xfId="5128" xr:uid="{00000000-0005-0000-0000-0000600B0000}"/>
    <cellStyle name="Normal 3 5 2 3 2 4" xfId="3937" xr:uid="{00000000-0005-0000-0000-0000610B0000}"/>
    <cellStyle name="Normal 3 5 2 3 2 5" xfId="2478" xr:uid="{00000000-0005-0000-0000-0000620B0000}"/>
    <cellStyle name="Normal 3 5 2 3 3" xfId="942" xr:uid="{00000000-0005-0000-0000-0000630B0000}"/>
    <cellStyle name="Normal 3 5 2 3 3 2" xfId="4307" xr:uid="{00000000-0005-0000-0000-0000640B0000}"/>
    <cellStyle name="Normal 3 5 2 3 3 3" xfId="3145" xr:uid="{00000000-0005-0000-0000-0000650B0000}"/>
    <cellStyle name="Normal 3 5 2 3 4" xfId="1764" xr:uid="{00000000-0005-0000-0000-0000660B0000}"/>
    <cellStyle name="Normal 3 5 2 3 4 2" xfId="5129" xr:uid="{00000000-0005-0000-0000-0000670B0000}"/>
    <cellStyle name="Normal 3 5 2 3 5" xfId="3637" xr:uid="{00000000-0005-0000-0000-0000680B0000}"/>
    <cellStyle name="Normal 3 5 2 3 6" xfId="2477" xr:uid="{00000000-0005-0000-0000-0000690B0000}"/>
    <cellStyle name="Normal 3 5 2 4" xfId="419" xr:uid="{00000000-0005-0000-0000-00006A0B0000}"/>
    <cellStyle name="Normal 3 5 2 4 2" xfId="1092" xr:uid="{00000000-0005-0000-0000-00006B0B0000}"/>
    <cellStyle name="Normal 3 5 2 4 2 2" xfId="4457" xr:uid="{00000000-0005-0000-0000-00006C0B0000}"/>
    <cellStyle name="Normal 3 5 2 4 2 3" xfId="3147" xr:uid="{00000000-0005-0000-0000-00006D0B0000}"/>
    <cellStyle name="Normal 3 5 2 4 3" xfId="1765" xr:uid="{00000000-0005-0000-0000-00006E0B0000}"/>
    <cellStyle name="Normal 3 5 2 4 3 2" xfId="5130" xr:uid="{00000000-0005-0000-0000-00006F0B0000}"/>
    <cellStyle name="Normal 3 5 2 4 4" xfId="3787" xr:uid="{00000000-0005-0000-0000-0000700B0000}"/>
    <cellStyle name="Normal 3 5 2 4 5" xfId="2479" xr:uid="{00000000-0005-0000-0000-0000710B0000}"/>
    <cellStyle name="Normal 3 5 2 5" xfId="705" xr:uid="{00000000-0005-0000-0000-0000720B0000}"/>
    <cellStyle name="Normal 3 5 2 5 2" xfId="1378" xr:uid="{00000000-0005-0000-0000-0000730B0000}"/>
    <cellStyle name="Normal 3 5 2 5 2 2" xfId="4743" xr:uid="{00000000-0005-0000-0000-0000740B0000}"/>
    <cellStyle name="Normal 3 5 2 5 2 3" xfId="3148" xr:uid="{00000000-0005-0000-0000-0000750B0000}"/>
    <cellStyle name="Normal 3 5 2 5 3" xfId="1766" xr:uid="{00000000-0005-0000-0000-0000760B0000}"/>
    <cellStyle name="Normal 3 5 2 5 3 2" xfId="5131" xr:uid="{00000000-0005-0000-0000-0000770B0000}"/>
    <cellStyle name="Normal 3 5 2 5 4" xfId="4073" xr:uid="{00000000-0005-0000-0000-0000780B0000}"/>
    <cellStyle name="Normal 3 5 2 5 5" xfId="2480" xr:uid="{00000000-0005-0000-0000-0000790B0000}"/>
    <cellStyle name="Normal 3 5 2 6" xfId="792" xr:uid="{00000000-0005-0000-0000-00007A0B0000}"/>
    <cellStyle name="Normal 3 5 2 6 2" xfId="4157" xr:uid="{00000000-0005-0000-0000-00007B0B0000}"/>
    <cellStyle name="Normal 3 5 2 6 3" xfId="2805" xr:uid="{00000000-0005-0000-0000-00007C0B0000}"/>
    <cellStyle name="Normal 3 5 2 7" xfId="1767" xr:uid="{00000000-0005-0000-0000-00007D0B0000}"/>
    <cellStyle name="Normal 3 5 2 7 2" xfId="5132" xr:uid="{00000000-0005-0000-0000-00007E0B0000}"/>
    <cellStyle name="Normal 3 5 2 8" xfId="3487" xr:uid="{00000000-0005-0000-0000-00007F0B0000}"/>
    <cellStyle name="Normal 3 5 2 9" xfId="2134" xr:uid="{00000000-0005-0000-0000-0000800B0000}"/>
    <cellStyle name="Normal 3 5 3" xfId="168" xr:uid="{00000000-0005-0000-0000-0000810B0000}"/>
    <cellStyle name="Normal 3 5 3 2" xfId="318" xr:uid="{00000000-0005-0000-0000-0000820B0000}"/>
    <cellStyle name="Normal 3 5 3 2 2" xfId="618" xr:uid="{00000000-0005-0000-0000-0000830B0000}"/>
    <cellStyle name="Normal 3 5 3 2 2 2" xfId="1291" xr:uid="{00000000-0005-0000-0000-0000840B0000}"/>
    <cellStyle name="Normal 3 5 3 2 2 2 2" xfId="4656" xr:uid="{00000000-0005-0000-0000-0000850B0000}"/>
    <cellStyle name="Normal 3 5 3 2 2 2 3" xfId="3151" xr:uid="{00000000-0005-0000-0000-0000860B0000}"/>
    <cellStyle name="Normal 3 5 3 2 2 3" xfId="1768" xr:uid="{00000000-0005-0000-0000-0000870B0000}"/>
    <cellStyle name="Normal 3 5 3 2 2 3 2" xfId="5133" xr:uid="{00000000-0005-0000-0000-0000880B0000}"/>
    <cellStyle name="Normal 3 5 3 2 2 4" xfId="3986" xr:uid="{00000000-0005-0000-0000-0000890B0000}"/>
    <cellStyle name="Normal 3 5 3 2 2 5" xfId="2483" xr:uid="{00000000-0005-0000-0000-00008A0B0000}"/>
    <cellStyle name="Normal 3 5 3 2 3" xfId="991" xr:uid="{00000000-0005-0000-0000-00008B0B0000}"/>
    <cellStyle name="Normal 3 5 3 2 3 2" xfId="4356" xr:uid="{00000000-0005-0000-0000-00008C0B0000}"/>
    <cellStyle name="Normal 3 5 3 2 3 3" xfId="3150" xr:uid="{00000000-0005-0000-0000-00008D0B0000}"/>
    <cellStyle name="Normal 3 5 3 2 4" xfId="1769" xr:uid="{00000000-0005-0000-0000-00008E0B0000}"/>
    <cellStyle name="Normal 3 5 3 2 4 2" xfId="5134" xr:uid="{00000000-0005-0000-0000-00008F0B0000}"/>
    <cellStyle name="Normal 3 5 3 2 5" xfId="3686" xr:uid="{00000000-0005-0000-0000-0000900B0000}"/>
    <cellStyle name="Normal 3 5 3 2 6" xfId="2482" xr:uid="{00000000-0005-0000-0000-0000910B0000}"/>
    <cellStyle name="Normal 3 5 3 3" xfId="468" xr:uid="{00000000-0005-0000-0000-0000920B0000}"/>
    <cellStyle name="Normal 3 5 3 3 2" xfId="1141" xr:uid="{00000000-0005-0000-0000-0000930B0000}"/>
    <cellStyle name="Normal 3 5 3 3 2 2" xfId="4506" xr:uid="{00000000-0005-0000-0000-0000940B0000}"/>
    <cellStyle name="Normal 3 5 3 3 2 3" xfId="3152" xr:uid="{00000000-0005-0000-0000-0000950B0000}"/>
    <cellStyle name="Normal 3 5 3 3 3" xfId="1770" xr:uid="{00000000-0005-0000-0000-0000960B0000}"/>
    <cellStyle name="Normal 3 5 3 3 3 2" xfId="5135" xr:uid="{00000000-0005-0000-0000-0000970B0000}"/>
    <cellStyle name="Normal 3 5 3 3 4" xfId="3836" xr:uid="{00000000-0005-0000-0000-0000980B0000}"/>
    <cellStyle name="Normal 3 5 3 3 5" xfId="2484" xr:uid="{00000000-0005-0000-0000-0000990B0000}"/>
    <cellStyle name="Normal 3 5 3 4" xfId="841" xr:uid="{00000000-0005-0000-0000-00009A0B0000}"/>
    <cellStyle name="Normal 3 5 3 4 2" xfId="4206" xr:uid="{00000000-0005-0000-0000-00009B0B0000}"/>
    <cellStyle name="Normal 3 5 3 4 3" xfId="3149" xr:uid="{00000000-0005-0000-0000-00009C0B0000}"/>
    <cellStyle name="Normal 3 5 3 5" xfId="1771" xr:uid="{00000000-0005-0000-0000-00009D0B0000}"/>
    <cellStyle name="Normal 3 5 3 5 2" xfId="5136" xr:uid="{00000000-0005-0000-0000-00009E0B0000}"/>
    <cellStyle name="Normal 3 5 3 6" xfId="3536" xr:uid="{00000000-0005-0000-0000-00009F0B0000}"/>
    <cellStyle name="Normal 3 5 3 7" xfId="2481" xr:uid="{00000000-0005-0000-0000-0000A00B0000}"/>
    <cellStyle name="Normal 3 5 4" xfId="243" xr:uid="{00000000-0005-0000-0000-0000A10B0000}"/>
    <cellStyle name="Normal 3 5 4 2" xfId="543" xr:uid="{00000000-0005-0000-0000-0000A20B0000}"/>
    <cellStyle name="Normal 3 5 4 2 2" xfId="1216" xr:uid="{00000000-0005-0000-0000-0000A30B0000}"/>
    <cellStyle name="Normal 3 5 4 2 2 2" xfId="4581" xr:uid="{00000000-0005-0000-0000-0000A40B0000}"/>
    <cellStyle name="Normal 3 5 4 2 2 3" xfId="3154" xr:uid="{00000000-0005-0000-0000-0000A50B0000}"/>
    <cellStyle name="Normal 3 5 4 2 3" xfId="1772" xr:uid="{00000000-0005-0000-0000-0000A60B0000}"/>
    <cellStyle name="Normal 3 5 4 2 3 2" xfId="5137" xr:uid="{00000000-0005-0000-0000-0000A70B0000}"/>
    <cellStyle name="Normal 3 5 4 2 4" xfId="3911" xr:uid="{00000000-0005-0000-0000-0000A80B0000}"/>
    <cellStyle name="Normal 3 5 4 2 5" xfId="2486" xr:uid="{00000000-0005-0000-0000-0000A90B0000}"/>
    <cellStyle name="Normal 3 5 4 3" xfId="916" xr:uid="{00000000-0005-0000-0000-0000AA0B0000}"/>
    <cellStyle name="Normal 3 5 4 3 2" xfId="4281" xr:uid="{00000000-0005-0000-0000-0000AB0B0000}"/>
    <cellStyle name="Normal 3 5 4 3 3" xfId="3153" xr:uid="{00000000-0005-0000-0000-0000AC0B0000}"/>
    <cellStyle name="Normal 3 5 4 4" xfId="1773" xr:uid="{00000000-0005-0000-0000-0000AD0B0000}"/>
    <cellStyle name="Normal 3 5 4 4 2" xfId="5138" xr:uid="{00000000-0005-0000-0000-0000AE0B0000}"/>
    <cellStyle name="Normal 3 5 4 5" xfId="3611" xr:uid="{00000000-0005-0000-0000-0000AF0B0000}"/>
    <cellStyle name="Normal 3 5 4 6" xfId="2485" xr:uid="{00000000-0005-0000-0000-0000B00B0000}"/>
    <cellStyle name="Normal 3 5 5" xfId="393" xr:uid="{00000000-0005-0000-0000-0000B10B0000}"/>
    <cellStyle name="Normal 3 5 5 2" xfId="1066" xr:uid="{00000000-0005-0000-0000-0000B20B0000}"/>
    <cellStyle name="Normal 3 5 5 2 2" xfId="4431" xr:uid="{00000000-0005-0000-0000-0000B30B0000}"/>
    <cellStyle name="Normal 3 5 5 2 3" xfId="3155" xr:uid="{00000000-0005-0000-0000-0000B40B0000}"/>
    <cellStyle name="Normal 3 5 5 3" xfId="1774" xr:uid="{00000000-0005-0000-0000-0000B50B0000}"/>
    <cellStyle name="Normal 3 5 5 3 2" xfId="5139" xr:uid="{00000000-0005-0000-0000-0000B60B0000}"/>
    <cellStyle name="Normal 3 5 5 4" xfId="3761" xr:uid="{00000000-0005-0000-0000-0000B70B0000}"/>
    <cellStyle name="Normal 3 5 5 5" xfId="2487" xr:uid="{00000000-0005-0000-0000-0000B80B0000}"/>
    <cellStyle name="Normal 3 5 6" xfId="679" xr:uid="{00000000-0005-0000-0000-0000B90B0000}"/>
    <cellStyle name="Normal 3 5 6 2" xfId="1352" xr:uid="{00000000-0005-0000-0000-0000BA0B0000}"/>
    <cellStyle name="Normal 3 5 6 2 2" xfId="4717" xr:uid="{00000000-0005-0000-0000-0000BB0B0000}"/>
    <cellStyle name="Normal 3 5 6 2 3" xfId="3156" xr:uid="{00000000-0005-0000-0000-0000BC0B0000}"/>
    <cellStyle name="Normal 3 5 6 3" xfId="1775" xr:uid="{00000000-0005-0000-0000-0000BD0B0000}"/>
    <cellStyle name="Normal 3 5 6 3 2" xfId="5140" xr:uid="{00000000-0005-0000-0000-0000BE0B0000}"/>
    <cellStyle name="Normal 3 5 6 4" xfId="4047" xr:uid="{00000000-0005-0000-0000-0000BF0B0000}"/>
    <cellStyle name="Normal 3 5 6 5" xfId="2488" xr:uid="{00000000-0005-0000-0000-0000C00B0000}"/>
    <cellStyle name="Normal 3 5 7" xfId="766" xr:uid="{00000000-0005-0000-0000-0000C10B0000}"/>
    <cellStyle name="Normal 3 5 7 2" xfId="4131" xr:uid="{00000000-0005-0000-0000-0000C20B0000}"/>
    <cellStyle name="Normal 3 5 7 3" xfId="2779" xr:uid="{00000000-0005-0000-0000-0000C30B0000}"/>
    <cellStyle name="Normal 3 5 8" xfId="1776" xr:uid="{00000000-0005-0000-0000-0000C40B0000}"/>
    <cellStyle name="Normal 3 5 8 2" xfId="5141" xr:uid="{00000000-0005-0000-0000-0000C50B0000}"/>
    <cellStyle name="Normal 3 5 9" xfId="3461" xr:uid="{00000000-0005-0000-0000-0000C60B0000}"/>
    <cellStyle name="Normal 3 6" xfId="99" xr:uid="{00000000-0005-0000-0000-0000C70B0000}"/>
    <cellStyle name="Normal 3 6 2" xfId="174" xr:uid="{00000000-0005-0000-0000-0000C80B0000}"/>
    <cellStyle name="Normal 3 6 2 2" xfId="324" xr:uid="{00000000-0005-0000-0000-0000C90B0000}"/>
    <cellStyle name="Normal 3 6 2 2 2" xfId="624" xr:uid="{00000000-0005-0000-0000-0000CA0B0000}"/>
    <cellStyle name="Normal 3 6 2 2 2 2" xfId="1297" xr:uid="{00000000-0005-0000-0000-0000CB0B0000}"/>
    <cellStyle name="Normal 3 6 2 2 2 2 2" xfId="4662" xr:uid="{00000000-0005-0000-0000-0000CC0B0000}"/>
    <cellStyle name="Normal 3 6 2 2 2 2 3" xfId="3159" xr:uid="{00000000-0005-0000-0000-0000CD0B0000}"/>
    <cellStyle name="Normal 3 6 2 2 2 3" xfId="1777" xr:uid="{00000000-0005-0000-0000-0000CE0B0000}"/>
    <cellStyle name="Normal 3 6 2 2 2 3 2" xfId="5142" xr:uid="{00000000-0005-0000-0000-0000CF0B0000}"/>
    <cellStyle name="Normal 3 6 2 2 2 4" xfId="3992" xr:uid="{00000000-0005-0000-0000-0000D00B0000}"/>
    <cellStyle name="Normal 3 6 2 2 2 5" xfId="2491" xr:uid="{00000000-0005-0000-0000-0000D10B0000}"/>
    <cellStyle name="Normal 3 6 2 2 3" xfId="997" xr:uid="{00000000-0005-0000-0000-0000D20B0000}"/>
    <cellStyle name="Normal 3 6 2 2 3 2" xfId="4362" xr:uid="{00000000-0005-0000-0000-0000D30B0000}"/>
    <cellStyle name="Normal 3 6 2 2 3 3" xfId="3158" xr:uid="{00000000-0005-0000-0000-0000D40B0000}"/>
    <cellStyle name="Normal 3 6 2 2 4" xfId="1778" xr:uid="{00000000-0005-0000-0000-0000D50B0000}"/>
    <cellStyle name="Normal 3 6 2 2 4 2" xfId="5143" xr:uid="{00000000-0005-0000-0000-0000D60B0000}"/>
    <cellStyle name="Normal 3 6 2 2 5" xfId="3692" xr:uid="{00000000-0005-0000-0000-0000D70B0000}"/>
    <cellStyle name="Normal 3 6 2 2 6" xfId="2490" xr:uid="{00000000-0005-0000-0000-0000D80B0000}"/>
    <cellStyle name="Normal 3 6 2 3" xfId="474" xr:uid="{00000000-0005-0000-0000-0000D90B0000}"/>
    <cellStyle name="Normal 3 6 2 3 2" xfId="1147" xr:uid="{00000000-0005-0000-0000-0000DA0B0000}"/>
    <cellStyle name="Normal 3 6 2 3 2 2" xfId="4512" xr:uid="{00000000-0005-0000-0000-0000DB0B0000}"/>
    <cellStyle name="Normal 3 6 2 3 2 3" xfId="3160" xr:uid="{00000000-0005-0000-0000-0000DC0B0000}"/>
    <cellStyle name="Normal 3 6 2 3 3" xfId="1779" xr:uid="{00000000-0005-0000-0000-0000DD0B0000}"/>
    <cellStyle name="Normal 3 6 2 3 3 2" xfId="5144" xr:uid="{00000000-0005-0000-0000-0000DE0B0000}"/>
    <cellStyle name="Normal 3 6 2 3 4" xfId="3842" xr:uid="{00000000-0005-0000-0000-0000DF0B0000}"/>
    <cellStyle name="Normal 3 6 2 3 5" xfId="2492" xr:uid="{00000000-0005-0000-0000-0000E00B0000}"/>
    <cellStyle name="Normal 3 6 2 4" xfId="847" xr:uid="{00000000-0005-0000-0000-0000E10B0000}"/>
    <cellStyle name="Normal 3 6 2 4 2" xfId="4212" xr:uid="{00000000-0005-0000-0000-0000E20B0000}"/>
    <cellStyle name="Normal 3 6 2 4 3" xfId="3157" xr:uid="{00000000-0005-0000-0000-0000E30B0000}"/>
    <cellStyle name="Normal 3 6 2 5" xfId="1780" xr:uid="{00000000-0005-0000-0000-0000E40B0000}"/>
    <cellStyle name="Normal 3 6 2 5 2" xfId="5145" xr:uid="{00000000-0005-0000-0000-0000E50B0000}"/>
    <cellStyle name="Normal 3 6 2 6" xfId="3542" xr:uid="{00000000-0005-0000-0000-0000E60B0000}"/>
    <cellStyle name="Normal 3 6 2 7" xfId="2489" xr:uid="{00000000-0005-0000-0000-0000E70B0000}"/>
    <cellStyle name="Normal 3 6 3" xfId="249" xr:uid="{00000000-0005-0000-0000-0000E80B0000}"/>
    <cellStyle name="Normal 3 6 3 2" xfId="549" xr:uid="{00000000-0005-0000-0000-0000E90B0000}"/>
    <cellStyle name="Normal 3 6 3 2 2" xfId="1222" xr:uid="{00000000-0005-0000-0000-0000EA0B0000}"/>
    <cellStyle name="Normal 3 6 3 2 2 2" xfId="4587" xr:uid="{00000000-0005-0000-0000-0000EB0B0000}"/>
    <cellStyle name="Normal 3 6 3 2 2 3" xfId="3162" xr:uid="{00000000-0005-0000-0000-0000EC0B0000}"/>
    <cellStyle name="Normal 3 6 3 2 3" xfId="1781" xr:uid="{00000000-0005-0000-0000-0000ED0B0000}"/>
    <cellStyle name="Normal 3 6 3 2 3 2" xfId="5146" xr:uid="{00000000-0005-0000-0000-0000EE0B0000}"/>
    <cellStyle name="Normal 3 6 3 2 4" xfId="3917" xr:uid="{00000000-0005-0000-0000-0000EF0B0000}"/>
    <cellStyle name="Normal 3 6 3 2 5" xfId="2494" xr:uid="{00000000-0005-0000-0000-0000F00B0000}"/>
    <cellStyle name="Normal 3 6 3 3" xfId="922" xr:uid="{00000000-0005-0000-0000-0000F10B0000}"/>
    <cellStyle name="Normal 3 6 3 3 2" xfId="4287" xr:uid="{00000000-0005-0000-0000-0000F20B0000}"/>
    <cellStyle name="Normal 3 6 3 3 3" xfId="3161" xr:uid="{00000000-0005-0000-0000-0000F30B0000}"/>
    <cellStyle name="Normal 3 6 3 4" xfId="1782" xr:uid="{00000000-0005-0000-0000-0000F40B0000}"/>
    <cellStyle name="Normal 3 6 3 4 2" xfId="5147" xr:uid="{00000000-0005-0000-0000-0000F50B0000}"/>
    <cellStyle name="Normal 3 6 3 5" xfId="3617" xr:uid="{00000000-0005-0000-0000-0000F60B0000}"/>
    <cellStyle name="Normal 3 6 3 6" xfId="2493" xr:uid="{00000000-0005-0000-0000-0000F70B0000}"/>
    <cellStyle name="Normal 3 6 4" xfId="399" xr:uid="{00000000-0005-0000-0000-0000F80B0000}"/>
    <cellStyle name="Normal 3 6 4 2" xfId="1072" xr:uid="{00000000-0005-0000-0000-0000F90B0000}"/>
    <cellStyle name="Normal 3 6 4 2 2" xfId="4437" xr:uid="{00000000-0005-0000-0000-0000FA0B0000}"/>
    <cellStyle name="Normal 3 6 4 2 3" xfId="3163" xr:uid="{00000000-0005-0000-0000-0000FB0B0000}"/>
    <cellStyle name="Normal 3 6 4 3" xfId="1783" xr:uid="{00000000-0005-0000-0000-0000FC0B0000}"/>
    <cellStyle name="Normal 3 6 4 3 2" xfId="5148" xr:uid="{00000000-0005-0000-0000-0000FD0B0000}"/>
    <cellStyle name="Normal 3 6 4 4" xfId="3767" xr:uid="{00000000-0005-0000-0000-0000FE0B0000}"/>
    <cellStyle name="Normal 3 6 4 5" xfId="2495" xr:uid="{00000000-0005-0000-0000-0000FF0B0000}"/>
    <cellStyle name="Normal 3 6 5" xfId="685" xr:uid="{00000000-0005-0000-0000-0000000C0000}"/>
    <cellStyle name="Normal 3 6 5 2" xfId="1358" xr:uid="{00000000-0005-0000-0000-0000010C0000}"/>
    <cellStyle name="Normal 3 6 5 2 2" xfId="4723" xr:uid="{00000000-0005-0000-0000-0000020C0000}"/>
    <cellStyle name="Normal 3 6 5 2 3" xfId="3164" xr:uid="{00000000-0005-0000-0000-0000030C0000}"/>
    <cellStyle name="Normal 3 6 5 3" xfId="1784" xr:uid="{00000000-0005-0000-0000-0000040C0000}"/>
    <cellStyle name="Normal 3 6 5 3 2" xfId="5149" xr:uid="{00000000-0005-0000-0000-0000050C0000}"/>
    <cellStyle name="Normal 3 6 5 4" xfId="4053" xr:uid="{00000000-0005-0000-0000-0000060C0000}"/>
    <cellStyle name="Normal 3 6 5 5" xfId="2496" xr:uid="{00000000-0005-0000-0000-0000070C0000}"/>
    <cellStyle name="Normal 3 6 6" xfId="772" xr:uid="{00000000-0005-0000-0000-0000080C0000}"/>
    <cellStyle name="Normal 3 6 6 2" xfId="4137" xr:uid="{00000000-0005-0000-0000-0000090C0000}"/>
    <cellStyle name="Normal 3 6 6 3" xfId="2785" xr:uid="{00000000-0005-0000-0000-00000A0C0000}"/>
    <cellStyle name="Normal 3 6 7" xfId="1785" xr:uid="{00000000-0005-0000-0000-00000B0C0000}"/>
    <cellStyle name="Normal 3 6 7 2" xfId="5150" xr:uid="{00000000-0005-0000-0000-00000C0C0000}"/>
    <cellStyle name="Normal 3 6 8" xfId="3467" xr:uid="{00000000-0005-0000-0000-00000D0C0000}"/>
    <cellStyle name="Normal 3 6 9" xfId="2114" xr:uid="{00000000-0005-0000-0000-00000E0C0000}"/>
    <cellStyle name="Normal 3 7" xfId="71" xr:uid="{00000000-0005-0000-0000-00000F0C0000}"/>
    <cellStyle name="Normal 3 7 2" xfId="148" xr:uid="{00000000-0005-0000-0000-0000100C0000}"/>
    <cellStyle name="Normal 3 7 2 2" xfId="298" xr:uid="{00000000-0005-0000-0000-0000110C0000}"/>
    <cellStyle name="Normal 3 7 2 2 2" xfId="598" xr:uid="{00000000-0005-0000-0000-0000120C0000}"/>
    <cellStyle name="Normal 3 7 2 2 2 2" xfId="1271" xr:uid="{00000000-0005-0000-0000-0000130C0000}"/>
    <cellStyle name="Normal 3 7 2 2 2 2 2" xfId="4636" xr:uid="{00000000-0005-0000-0000-0000140C0000}"/>
    <cellStyle name="Normal 3 7 2 2 2 2 3" xfId="3167" xr:uid="{00000000-0005-0000-0000-0000150C0000}"/>
    <cellStyle name="Normal 3 7 2 2 2 3" xfId="1786" xr:uid="{00000000-0005-0000-0000-0000160C0000}"/>
    <cellStyle name="Normal 3 7 2 2 2 3 2" xfId="5151" xr:uid="{00000000-0005-0000-0000-0000170C0000}"/>
    <cellStyle name="Normal 3 7 2 2 2 4" xfId="3966" xr:uid="{00000000-0005-0000-0000-0000180C0000}"/>
    <cellStyle name="Normal 3 7 2 2 2 5" xfId="2499" xr:uid="{00000000-0005-0000-0000-0000190C0000}"/>
    <cellStyle name="Normal 3 7 2 2 3" xfId="971" xr:uid="{00000000-0005-0000-0000-00001A0C0000}"/>
    <cellStyle name="Normal 3 7 2 2 3 2" xfId="4336" xr:uid="{00000000-0005-0000-0000-00001B0C0000}"/>
    <cellStyle name="Normal 3 7 2 2 3 3" xfId="3166" xr:uid="{00000000-0005-0000-0000-00001C0C0000}"/>
    <cellStyle name="Normal 3 7 2 2 4" xfId="1787" xr:uid="{00000000-0005-0000-0000-00001D0C0000}"/>
    <cellStyle name="Normal 3 7 2 2 4 2" xfId="5152" xr:uid="{00000000-0005-0000-0000-00001E0C0000}"/>
    <cellStyle name="Normal 3 7 2 2 5" xfId="3666" xr:uid="{00000000-0005-0000-0000-00001F0C0000}"/>
    <cellStyle name="Normal 3 7 2 2 6" xfId="2498" xr:uid="{00000000-0005-0000-0000-0000200C0000}"/>
    <cellStyle name="Normal 3 7 2 3" xfId="448" xr:uid="{00000000-0005-0000-0000-0000210C0000}"/>
    <cellStyle name="Normal 3 7 2 3 2" xfId="1121" xr:uid="{00000000-0005-0000-0000-0000220C0000}"/>
    <cellStyle name="Normal 3 7 2 3 2 2" xfId="4486" xr:uid="{00000000-0005-0000-0000-0000230C0000}"/>
    <cellStyle name="Normal 3 7 2 3 2 3" xfId="3168" xr:uid="{00000000-0005-0000-0000-0000240C0000}"/>
    <cellStyle name="Normal 3 7 2 3 3" xfId="1788" xr:uid="{00000000-0005-0000-0000-0000250C0000}"/>
    <cellStyle name="Normal 3 7 2 3 3 2" xfId="5153" xr:uid="{00000000-0005-0000-0000-0000260C0000}"/>
    <cellStyle name="Normal 3 7 2 3 4" xfId="3816" xr:uid="{00000000-0005-0000-0000-0000270C0000}"/>
    <cellStyle name="Normal 3 7 2 3 5" xfId="2500" xr:uid="{00000000-0005-0000-0000-0000280C0000}"/>
    <cellStyle name="Normal 3 7 2 4" xfId="821" xr:uid="{00000000-0005-0000-0000-0000290C0000}"/>
    <cellStyle name="Normal 3 7 2 4 2" xfId="4186" xr:uid="{00000000-0005-0000-0000-00002A0C0000}"/>
    <cellStyle name="Normal 3 7 2 4 3" xfId="3165" xr:uid="{00000000-0005-0000-0000-00002B0C0000}"/>
    <cellStyle name="Normal 3 7 2 5" xfId="1789" xr:uid="{00000000-0005-0000-0000-00002C0C0000}"/>
    <cellStyle name="Normal 3 7 2 5 2" xfId="5154" xr:uid="{00000000-0005-0000-0000-00002D0C0000}"/>
    <cellStyle name="Normal 3 7 2 6" xfId="3516" xr:uid="{00000000-0005-0000-0000-00002E0C0000}"/>
    <cellStyle name="Normal 3 7 2 7" xfId="2497" xr:uid="{00000000-0005-0000-0000-00002F0C0000}"/>
    <cellStyle name="Normal 3 7 3" xfId="223" xr:uid="{00000000-0005-0000-0000-0000300C0000}"/>
    <cellStyle name="Normal 3 7 3 2" xfId="523" xr:uid="{00000000-0005-0000-0000-0000310C0000}"/>
    <cellStyle name="Normal 3 7 3 2 2" xfId="1196" xr:uid="{00000000-0005-0000-0000-0000320C0000}"/>
    <cellStyle name="Normal 3 7 3 2 2 2" xfId="4561" xr:uid="{00000000-0005-0000-0000-0000330C0000}"/>
    <cellStyle name="Normal 3 7 3 2 2 3" xfId="3170" xr:uid="{00000000-0005-0000-0000-0000340C0000}"/>
    <cellStyle name="Normal 3 7 3 2 3" xfId="1790" xr:uid="{00000000-0005-0000-0000-0000350C0000}"/>
    <cellStyle name="Normal 3 7 3 2 3 2" xfId="5155" xr:uid="{00000000-0005-0000-0000-0000360C0000}"/>
    <cellStyle name="Normal 3 7 3 2 4" xfId="3891" xr:uid="{00000000-0005-0000-0000-0000370C0000}"/>
    <cellStyle name="Normal 3 7 3 2 5" xfId="2502" xr:uid="{00000000-0005-0000-0000-0000380C0000}"/>
    <cellStyle name="Normal 3 7 3 3" xfId="896" xr:uid="{00000000-0005-0000-0000-0000390C0000}"/>
    <cellStyle name="Normal 3 7 3 3 2" xfId="4261" xr:uid="{00000000-0005-0000-0000-00003A0C0000}"/>
    <cellStyle name="Normal 3 7 3 3 3" xfId="3169" xr:uid="{00000000-0005-0000-0000-00003B0C0000}"/>
    <cellStyle name="Normal 3 7 3 4" xfId="1791" xr:uid="{00000000-0005-0000-0000-00003C0C0000}"/>
    <cellStyle name="Normal 3 7 3 4 2" xfId="5156" xr:uid="{00000000-0005-0000-0000-00003D0C0000}"/>
    <cellStyle name="Normal 3 7 3 5" xfId="3591" xr:uid="{00000000-0005-0000-0000-00003E0C0000}"/>
    <cellStyle name="Normal 3 7 3 6" xfId="2501" xr:uid="{00000000-0005-0000-0000-00003F0C0000}"/>
    <cellStyle name="Normal 3 7 4" xfId="373" xr:uid="{00000000-0005-0000-0000-0000400C0000}"/>
    <cellStyle name="Normal 3 7 4 2" xfId="1046" xr:uid="{00000000-0005-0000-0000-0000410C0000}"/>
    <cellStyle name="Normal 3 7 4 2 2" xfId="4411" xr:uid="{00000000-0005-0000-0000-0000420C0000}"/>
    <cellStyle name="Normal 3 7 4 2 3" xfId="3171" xr:uid="{00000000-0005-0000-0000-0000430C0000}"/>
    <cellStyle name="Normal 3 7 4 3" xfId="1792" xr:uid="{00000000-0005-0000-0000-0000440C0000}"/>
    <cellStyle name="Normal 3 7 4 3 2" xfId="5157" xr:uid="{00000000-0005-0000-0000-0000450C0000}"/>
    <cellStyle name="Normal 3 7 4 4" xfId="3741" xr:uid="{00000000-0005-0000-0000-0000460C0000}"/>
    <cellStyle name="Normal 3 7 4 5" xfId="2503" xr:uid="{00000000-0005-0000-0000-0000470C0000}"/>
    <cellStyle name="Normal 3 7 5" xfId="746" xr:uid="{00000000-0005-0000-0000-0000480C0000}"/>
    <cellStyle name="Normal 3 7 5 2" xfId="4111" xr:uid="{00000000-0005-0000-0000-0000490C0000}"/>
    <cellStyle name="Normal 3 7 5 3" xfId="2830" xr:uid="{00000000-0005-0000-0000-00004A0C0000}"/>
    <cellStyle name="Normal 3 7 6" xfId="1793" xr:uid="{00000000-0005-0000-0000-00004B0C0000}"/>
    <cellStyle name="Normal 3 7 6 2" xfId="5158" xr:uid="{00000000-0005-0000-0000-00004C0C0000}"/>
    <cellStyle name="Normal 3 7 7" xfId="3441" xr:uid="{00000000-0005-0000-0000-00004D0C0000}"/>
    <cellStyle name="Normal 3 7 8" xfId="2162" xr:uid="{00000000-0005-0000-0000-00004E0C0000}"/>
    <cellStyle name="Normal 3 8" xfId="64" xr:uid="{00000000-0005-0000-0000-00004F0C0000}"/>
    <cellStyle name="Normal 3 8 2" xfId="141" xr:uid="{00000000-0005-0000-0000-0000500C0000}"/>
    <cellStyle name="Normal 3 8 2 2" xfId="291" xr:uid="{00000000-0005-0000-0000-0000510C0000}"/>
    <cellStyle name="Normal 3 8 2 2 2" xfId="591" xr:uid="{00000000-0005-0000-0000-0000520C0000}"/>
    <cellStyle name="Normal 3 8 2 2 2 2" xfId="1264" xr:uid="{00000000-0005-0000-0000-0000530C0000}"/>
    <cellStyle name="Normal 3 8 2 2 2 2 2" xfId="4629" xr:uid="{00000000-0005-0000-0000-0000540C0000}"/>
    <cellStyle name="Normal 3 8 2 2 2 2 3" xfId="3174" xr:uid="{00000000-0005-0000-0000-0000550C0000}"/>
    <cellStyle name="Normal 3 8 2 2 2 3" xfId="1794" xr:uid="{00000000-0005-0000-0000-0000560C0000}"/>
    <cellStyle name="Normal 3 8 2 2 2 3 2" xfId="5159" xr:uid="{00000000-0005-0000-0000-0000570C0000}"/>
    <cellStyle name="Normal 3 8 2 2 2 4" xfId="3959" xr:uid="{00000000-0005-0000-0000-0000580C0000}"/>
    <cellStyle name="Normal 3 8 2 2 2 5" xfId="2506" xr:uid="{00000000-0005-0000-0000-0000590C0000}"/>
    <cellStyle name="Normal 3 8 2 2 3" xfId="964" xr:uid="{00000000-0005-0000-0000-00005A0C0000}"/>
    <cellStyle name="Normal 3 8 2 2 3 2" xfId="4329" xr:uid="{00000000-0005-0000-0000-00005B0C0000}"/>
    <cellStyle name="Normal 3 8 2 2 3 3" xfId="3173" xr:uid="{00000000-0005-0000-0000-00005C0C0000}"/>
    <cellStyle name="Normal 3 8 2 2 4" xfId="1795" xr:uid="{00000000-0005-0000-0000-00005D0C0000}"/>
    <cellStyle name="Normal 3 8 2 2 4 2" xfId="5160" xr:uid="{00000000-0005-0000-0000-00005E0C0000}"/>
    <cellStyle name="Normal 3 8 2 2 5" xfId="3659" xr:uid="{00000000-0005-0000-0000-00005F0C0000}"/>
    <cellStyle name="Normal 3 8 2 2 6" xfId="2505" xr:uid="{00000000-0005-0000-0000-0000600C0000}"/>
    <cellStyle name="Normal 3 8 2 3" xfId="441" xr:uid="{00000000-0005-0000-0000-0000610C0000}"/>
    <cellStyle name="Normal 3 8 2 3 2" xfId="1114" xr:uid="{00000000-0005-0000-0000-0000620C0000}"/>
    <cellStyle name="Normal 3 8 2 3 2 2" xfId="4479" xr:uid="{00000000-0005-0000-0000-0000630C0000}"/>
    <cellStyle name="Normal 3 8 2 3 2 3" xfId="3175" xr:uid="{00000000-0005-0000-0000-0000640C0000}"/>
    <cellStyle name="Normal 3 8 2 3 3" xfId="1796" xr:uid="{00000000-0005-0000-0000-0000650C0000}"/>
    <cellStyle name="Normal 3 8 2 3 3 2" xfId="5161" xr:uid="{00000000-0005-0000-0000-0000660C0000}"/>
    <cellStyle name="Normal 3 8 2 3 4" xfId="3809" xr:uid="{00000000-0005-0000-0000-0000670C0000}"/>
    <cellStyle name="Normal 3 8 2 3 5" xfId="2507" xr:uid="{00000000-0005-0000-0000-0000680C0000}"/>
    <cellStyle name="Normal 3 8 2 4" xfId="814" xr:uid="{00000000-0005-0000-0000-0000690C0000}"/>
    <cellStyle name="Normal 3 8 2 4 2" xfId="4179" xr:uid="{00000000-0005-0000-0000-00006A0C0000}"/>
    <cellStyle name="Normal 3 8 2 4 3" xfId="3172" xr:uid="{00000000-0005-0000-0000-00006B0C0000}"/>
    <cellStyle name="Normal 3 8 2 5" xfId="1797" xr:uid="{00000000-0005-0000-0000-00006C0C0000}"/>
    <cellStyle name="Normal 3 8 2 5 2" xfId="5162" xr:uid="{00000000-0005-0000-0000-00006D0C0000}"/>
    <cellStyle name="Normal 3 8 2 6" xfId="3509" xr:uid="{00000000-0005-0000-0000-00006E0C0000}"/>
    <cellStyle name="Normal 3 8 2 7" xfId="2504" xr:uid="{00000000-0005-0000-0000-00006F0C0000}"/>
    <cellStyle name="Normal 3 8 3" xfId="216" xr:uid="{00000000-0005-0000-0000-0000700C0000}"/>
    <cellStyle name="Normal 3 8 3 2" xfId="516" xr:uid="{00000000-0005-0000-0000-0000710C0000}"/>
    <cellStyle name="Normal 3 8 3 2 2" xfId="1189" xr:uid="{00000000-0005-0000-0000-0000720C0000}"/>
    <cellStyle name="Normal 3 8 3 2 2 2" xfId="4554" xr:uid="{00000000-0005-0000-0000-0000730C0000}"/>
    <cellStyle name="Normal 3 8 3 2 2 3" xfId="3177" xr:uid="{00000000-0005-0000-0000-0000740C0000}"/>
    <cellStyle name="Normal 3 8 3 2 3" xfId="1798" xr:uid="{00000000-0005-0000-0000-0000750C0000}"/>
    <cellStyle name="Normal 3 8 3 2 3 2" xfId="5163" xr:uid="{00000000-0005-0000-0000-0000760C0000}"/>
    <cellStyle name="Normal 3 8 3 2 4" xfId="3884" xr:uid="{00000000-0005-0000-0000-0000770C0000}"/>
    <cellStyle name="Normal 3 8 3 2 5" xfId="2509" xr:uid="{00000000-0005-0000-0000-0000780C0000}"/>
    <cellStyle name="Normal 3 8 3 3" xfId="889" xr:uid="{00000000-0005-0000-0000-0000790C0000}"/>
    <cellStyle name="Normal 3 8 3 3 2" xfId="4254" xr:uid="{00000000-0005-0000-0000-00007A0C0000}"/>
    <cellStyle name="Normal 3 8 3 3 3" xfId="3176" xr:uid="{00000000-0005-0000-0000-00007B0C0000}"/>
    <cellStyle name="Normal 3 8 3 4" xfId="1799" xr:uid="{00000000-0005-0000-0000-00007C0C0000}"/>
    <cellStyle name="Normal 3 8 3 4 2" xfId="5164" xr:uid="{00000000-0005-0000-0000-00007D0C0000}"/>
    <cellStyle name="Normal 3 8 3 5" xfId="3584" xr:uid="{00000000-0005-0000-0000-00007E0C0000}"/>
    <cellStyle name="Normal 3 8 3 6" xfId="2508" xr:uid="{00000000-0005-0000-0000-00007F0C0000}"/>
    <cellStyle name="Normal 3 8 4" xfId="366" xr:uid="{00000000-0005-0000-0000-0000800C0000}"/>
    <cellStyle name="Normal 3 8 4 2" xfId="1039" xr:uid="{00000000-0005-0000-0000-0000810C0000}"/>
    <cellStyle name="Normal 3 8 4 2 2" xfId="4404" xr:uid="{00000000-0005-0000-0000-0000820C0000}"/>
    <cellStyle name="Normal 3 8 4 2 3" xfId="3178" xr:uid="{00000000-0005-0000-0000-0000830C0000}"/>
    <cellStyle name="Normal 3 8 4 3" xfId="1800" xr:uid="{00000000-0005-0000-0000-0000840C0000}"/>
    <cellStyle name="Normal 3 8 4 3 2" xfId="5165" xr:uid="{00000000-0005-0000-0000-0000850C0000}"/>
    <cellStyle name="Normal 3 8 4 4" xfId="3734" xr:uid="{00000000-0005-0000-0000-0000860C0000}"/>
    <cellStyle name="Normal 3 8 4 5" xfId="2510" xr:uid="{00000000-0005-0000-0000-0000870C0000}"/>
    <cellStyle name="Normal 3 8 5" xfId="739" xr:uid="{00000000-0005-0000-0000-0000880C0000}"/>
    <cellStyle name="Normal 3 8 5 2" xfId="4104" xr:uid="{00000000-0005-0000-0000-0000890C0000}"/>
    <cellStyle name="Normal 3 8 5 3" xfId="2831" xr:uid="{00000000-0005-0000-0000-00008A0C0000}"/>
    <cellStyle name="Normal 3 8 6" xfId="1801" xr:uid="{00000000-0005-0000-0000-00008B0C0000}"/>
    <cellStyle name="Normal 3 8 6 2" xfId="5166" xr:uid="{00000000-0005-0000-0000-00008C0C0000}"/>
    <cellStyle name="Normal 3 8 7" xfId="3434" xr:uid="{00000000-0005-0000-0000-00008D0C0000}"/>
    <cellStyle name="Normal 3 8 8" xfId="2163" xr:uid="{00000000-0005-0000-0000-00008E0C0000}"/>
    <cellStyle name="Normal 3 9" xfId="134" xr:uid="{00000000-0005-0000-0000-00008F0C0000}"/>
    <cellStyle name="Normal 3 9 2" xfId="284" xr:uid="{00000000-0005-0000-0000-0000900C0000}"/>
    <cellStyle name="Normal 3 9 2 2" xfId="584" xr:uid="{00000000-0005-0000-0000-0000910C0000}"/>
    <cellStyle name="Normal 3 9 2 2 2" xfId="1257" xr:uid="{00000000-0005-0000-0000-0000920C0000}"/>
    <cellStyle name="Normal 3 9 2 2 2 2" xfId="4622" xr:uid="{00000000-0005-0000-0000-0000930C0000}"/>
    <cellStyle name="Normal 3 9 2 2 2 3" xfId="3181" xr:uid="{00000000-0005-0000-0000-0000940C0000}"/>
    <cellStyle name="Normal 3 9 2 2 3" xfId="1802" xr:uid="{00000000-0005-0000-0000-0000950C0000}"/>
    <cellStyle name="Normal 3 9 2 2 3 2" xfId="5167" xr:uid="{00000000-0005-0000-0000-0000960C0000}"/>
    <cellStyle name="Normal 3 9 2 2 4" xfId="3952" xr:uid="{00000000-0005-0000-0000-0000970C0000}"/>
    <cellStyle name="Normal 3 9 2 2 5" xfId="2513" xr:uid="{00000000-0005-0000-0000-0000980C0000}"/>
    <cellStyle name="Normal 3 9 2 3" xfId="957" xr:uid="{00000000-0005-0000-0000-0000990C0000}"/>
    <cellStyle name="Normal 3 9 2 3 2" xfId="4322" xr:uid="{00000000-0005-0000-0000-00009A0C0000}"/>
    <cellStyle name="Normal 3 9 2 3 3" xfId="3180" xr:uid="{00000000-0005-0000-0000-00009B0C0000}"/>
    <cellStyle name="Normal 3 9 2 4" xfId="1803" xr:uid="{00000000-0005-0000-0000-00009C0C0000}"/>
    <cellStyle name="Normal 3 9 2 4 2" xfId="5168" xr:uid="{00000000-0005-0000-0000-00009D0C0000}"/>
    <cellStyle name="Normal 3 9 2 5" xfId="3652" xr:uid="{00000000-0005-0000-0000-00009E0C0000}"/>
    <cellStyle name="Normal 3 9 2 6" xfId="2512" xr:uid="{00000000-0005-0000-0000-00009F0C0000}"/>
    <cellStyle name="Normal 3 9 3" xfId="434" xr:uid="{00000000-0005-0000-0000-0000A00C0000}"/>
    <cellStyle name="Normal 3 9 3 2" xfId="1107" xr:uid="{00000000-0005-0000-0000-0000A10C0000}"/>
    <cellStyle name="Normal 3 9 3 2 2" xfId="4472" xr:uid="{00000000-0005-0000-0000-0000A20C0000}"/>
    <cellStyle name="Normal 3 9 3 2 3" xfId="3182" xr:uid="{00000000-0005-0000-0000-0000A30C0000}"/>
    <cellStyle name="Normal 3 9 3 3" xfId="1804" xr:uid="{00000000-0005-0000-0000-0000A40C0000}"/>
    <cellStyle name="Normal 3 9 3 3 2" xfId="5169" xr:uid="{00000000-0005-0000-0000-0000A50C0000}"/>
    <cellStyle name="Normal 3 9 3 4" xfId="3802" xr:uid="{00000000-0005-0000-0000-0000A60C0000}"/>
    <cellStyle name="Normal 3 9 3 5" xfId="2514" xr:uid="{00000000-0005-0000-0000-0000A70C0000}"/>
    <cellStyle name="Normal 3 9 4" xfId="807" xr:uid="{00000000-0005-0000-0000-0000A80C0000}"/>
    <cellStyle name="Normal 3 9 4 2" xfId="4172" xr:uid="{00000000-0005-0000-0000-0000A90C0000}"/>
    <cellStyle name="Normal 3 9 4 3" xfId="3179" xr:uid="{00000000-0005-0000-0000-0000AA0C0000}"/>
    <cellStyle name="Normal 3 9 5" xfId="1805" xr:uid="{00000000-0005-0000-0000-0000AB0C0000}"/>
    <cellStyle name="Normal 3 9 5 2" xfId="5170" xr:uid="{00000000-0005-0000-0000-0000AC0C0000}"/>
    <cellStyle name="Normal 3 9 6" xfId="3502" xr:uid="{00000000-0005-0000-0000-0000AD0C0000}"/>
    <cellStyle name="Normal 3 9 7" xfId="2511" xr:uid="{00000000-0005-0000-0000-0000AE0C0000}"/>
    <cellStyle name="Normal 4" xfId="3" xr:uid="{00000000-0005-0000-0000-0000AF0C0000}"/>
    <cellStyle name="Normal 4 2" xfId="726" xr:uid="{00000000-0005-0000-0000-0000B00C0000}"/>
    <cellStyle name="Normal 5" xfId="62" xr:uid="{00000000-0005-0000-0000-0000B10C0000}"/>
    <cellStyle name="Normal 5 10" xfId="74" xr:uid="{00000000-0005-0000-0000-0000B20C0000}"/>
    <cellStyle name="Normal 5 10 2" xfId="151" xr:uid="{00000000-0005-0000-0000-0000B30C0000}"/>
    <cellStyle name="Normal 5 10 2 2" xfId="301" xr:uid="{00000000-0005-0000-0000-0000B40C0000}"/>
    <cellStyle name="Normal 5 10 2 2 2" xfId="601" xr:uid="{00000000-0005-0000-0000-0000B50C0000}"/>
    <cellStyle name="Normal 5 10 2 2 2 2" xfId="1274" xr:uid="{00000000-0005-0000-0000-0000B60C0000}"/>
    <cellStyle name="Normal 5 10 2 2 2 2 2" xfId="4639" xr:uid="{00000000-0005-0000-0000-0000B70C0000}"/>
    <cellStyle name="Normal 5 10 2 2 2 2 3" xfId="3185" xr:uid="{00000000-0005-0000-0000-0000B80C0000}"/>
    <cellStyle name="Normal 5 10 2 2 2 3" xfId="1806" xr:uid="{00000000-0005-0000-0000-0000B90C0000}"/>
    <cellStyle name="Normal 5 10 2 2 2 3 2" xfId="5171" xr:uid="{00000000-0005-0000-0000-0000BA0C0000}"/>
    <cellStyle name="Normal 5 10 2 2 2 4" xfId="3969" xr:uid="{00000000-0005-0000-0000-0000BB0C0000}"/>
    <cellStyle name="Normal 5 10 2 2 2 5" xfId="2517" xr:uid="{00000000-0005-0000-0000-0000BC0C0000}"/>
    <cellStyle name="Normal 5 10 2 2 3" xfId="974" xr:uid="{00000000-0005-0000-0000-0000BD0C0000}"/>
    <cellStyle name="Normal 5 10 2 2 3 2" xfId="4339" xr:uid="{00000000-0005-0000-0000-0000BE0C0000}"/>
    <cellStyle name="Normal 5 10 2 2 3 3" xfId="3184" xr:uid="{00000000-0005-0000-0000-0000BF0C0000}"/>
    <cellStyle name="Normal 5 10 2 2 4" xfId="1807" xr:uid="{00000000-0005-0000-0000-0000C00C0000}"/>
    <cellStyle name="Normal 5 10 2 2 4 2" xfId="5172" xr:uid="{00000000-0005-0000-0000-0000C10C0000}"/>
    <cellStyle name="Normal 5 10 2 2 5" xfId="3669" xr:uid="{00000000-0005-0000-0000-0000C20C0000}"/>
    <cellStyle name="Normal 5 10 2 2 6" xfId="2516" xr:uid="{00000000-0005-0000-0000-0000C30C0000}"/>
    <cellStyle name="Normal 5 10 2 3" xfId="451" xr:uid="{00000000-0005-0000-0000-0000C40C0000}"/>
    <cellStyle name="Normal 5 10 2 3 2" xfId="1124" xr:uid="{00000000-0005-0000-0000-0000C50C0000}"/>
    <cellStyle name="Normal 5 10 2 3 2 2" xfId="4489" xr:uid="{00000000-0005-0000-0000-0000C60C0000}"/>
    <cellStyle name="Normal 5 10 2 3 2 3" xfId="3186" xr:uid="{00000000-0005-0000-0000-0000C70C0000}"/>
    <cellStyle name="Normal 5 10 2 3 3" xfId="1808" xr:uid="{00000000-0005-0000-0000-0000C80C0000}"/>
    <cellStyle name="Normal 5 10 2 3 3 2" xfId="5173" xr:uid="{00000000-0005-0000-0000-0000C90C0000}"/>
    <cellStyle name="Normal 5 10 2 3 4" xfId="3819" xr:uid="{00000000-0005-0000-0000-0000CA0C0000}"/>
    <cellStyle name="Normal 5 10 2 3 5" xfId="2518" xr:uid="{00000000-0005-0000-0000-0000CB0C0000}"/>
    <cellStyle name="Normal 5 10 2 4" xfId="824" xr:uid="{00000000-0005-0000-0000-0000CC0C0000}"/>
    <cellStyle name="Normal 5 10 2 4 2" xfId="4189" xr:uid="{00000000-0005-0000-0000-0000CD0C0000}"/>
    <cellStyle name="Normal 5 10 2 4 3" xfId="3183" xr:uid="{00000000-0005-0000-0000-0000CE0C0000}"/>
    <cellStyle name="Normal 5 10 2 5" xfId="1809" xr:uid="{00000000-0005-0000-0000-0000CF0C0000}"/>
    <cellStyle name="Normal 5 10 2 5 2" xfId="5174" xr:uid="{00000000-0005-0000-0000-0000D00C0000}"/>
    <cellStyle name="Normal 5 10 2 6" xfId="3519" xr:uid="{00000000-0005-0000-0000-0000D10C0000}"/>
    <cellStyle name="Normal 5 10 2 7" xfId="2515" xr:uid="{00000000-0005-0000-0000-0000D20C0000}"/>
    <cellStyle name="Normal 5 10 3" xfId="226" xr:uid="{00000000-0005-0000-0000-0000D30C0000}"/>
    <cellStyle name="Normal 5 10 3 2" xfId="526" xr:uid="{00000000-0005-0000-0000-0000D40C0000}"/>
    <cellStyle name="Normal 5 10 3 2 2" xfId="1199" xr:uid="{00000000-0005-0000-0000-0000D50C0000}"/>
    <cellStyle name="Normal 5 10 3 2 2 2" xfId="4564" xr:uid="{00000000-0005-0000-0000-0000D60C0000}"/>
    <cellStyle name="Normal 5 10 3 2 2 3" xfId="3188" xr:uid="{00000000-0005-0000-0000-0000D70C0000}"/>
    <cellStyle name="Normal 5 10 3 2 3" xfId="1810" xr:uid="{00000000-0005-0000-0000-0000D80C0000}"/>
    <cellStyle name="Normal 5 10 3 2 3 2" xfId="5175" xr:uid="{00000000-0005-0000-0000-0000D90C0000}"/>
    <cellStyle name="Normal 5 10 3 2 4" xfId="3894" xr:uid="{00000000-0005-0000-0000-0000DA0C0000}"/>
    <cellStyle name="Normal 5 10 3 2 5" xfId="2520" xr:uid="{00000000-0005-0000-0000-0000DB0C0000}"/>
    <cellStyle name="Normal 5 10 3 3" xfId="899" xr:uid="{00000000-0005-0000-0000-0000DC0C0000}"/>
    <cellStyle name="Normal 5 10 3 3 2" xfId="4264" xr:uid="{00000000-0005-0000-0000-0000DD0C0000}"/>
    <cellStyle name="Normal 5 10 3 3 3" xfId="3187" xr:uid="{00000000-0005-0000-0000-0000DE0C0000}"/>
    <cellStyle name="Normal 5 10 3 4" xfId="1811" xr:uid="{00000000-0005-0000-0000-0000DF0C0000}"/>
    <cellStyle name="Normal 5 10 3 4 2" xfId="5176" xr:uid="{00000000-0005-0000-0000-0000E00C0000}"/>
    <cellStyle name="Normal 5 10 3 5" xfId="3594" xr:uid="{00000000-0005-0000-0000-0000E10C0000}"/>
    <cellStyle name="Normal 5 10 3 6" xfId="2519" xr:uid="{00000000-0005-0000-0000-0000E20C0000}"/>
    <cellStyle name="Normal 5 10 4" xfId="376" xr:uid="{00000000-0005-0000-0000-0000E30C0000}"/>
    <cellStyle name="Normal 5 10 4 2" xfId="1049" xr:uid="{00000000-0005-0000-0000-0000E40C0000}"/>
    <cellStyle name="Normal 5 10 4 2 2" xfId="4414" xr:uid="{00000000-0005-0000-0000-0000E50C0000}"/>
    <cellStyle name="Normal 5 10 4 2 3" xfId="3189" xr:uid="{00000000-0005-0000-0000-0000E60C0000}"/>
    <cellStyle name="Normal 5 10 4 3" xfId="1812" xr:uid="{00000000-0005-0000-0000-0000E70C0000}"/>
    <cellStyle name="Normal 5 10 4 3 2" xfId="5177" xr:uid="{00000000-0005-0000-0000-0000E80C0000}"/>
    <cellStyle name="Normal 5 10 4 4" xfId="3744" xr:uid="{00000000-0005-0000-0000-0000E90C0000}"/>
    <cellStyle name="Normal 5 10 4 5" xfId="2521" xr:uid="{00000000-0005-0000-0000-0000EA0C0000}"/>
    <cellStyle name="Normal 5 10 5" xfId="749" xr:uid="{00000000-0005-0000-0000-0000EB0C0000}"/>
    <cellStyle name="Normal 5 10 5 2" xfId="4114" xr:uid="{00000000-0005-0000-0000-0000EC0C0000}"/>
    <cellStyle name="Normal 5 10 5 3" xfId="2832" xr:uid="{00000000-0005-0000-0000-0000ED0C0000}"/>
    <cellStyle name="Normal 5 10 6" xfId="1813" xr:uid="{00000000-0005-0000-0000-0000EE0C0000}"/>
    <cellStyle name="Normal 5 10 6 2" xfId="5178" xr:uid="{00000000-0005-0000-0000-0000EF0C0000}"/>
    <cellStyle name="Normal 5 10 7" xfId="3444" xr:uid="{00000000-0005-0000-0000-0000F00C0000}"/>
    <cellStyle name="Normal 5 10 8" xfId="2164" xr:uid="{00000000-0005-0000-0000-0000F10C0000}"/>
    <cellStyle name="Normal 5 11" xfId="69" xr:uid="{00000000-0005-0000-0000-0000F20C0000}"/>
    <cellStyle name="Normal 5 11 2" xfId="146" xr:uid="{00000000-0005-0000-0000-0000F30C0000}"/>
    <cellStyle name="Normal 5 11 2 2" xfId="296" xr:uid="{00000000-0005-0000-0000-0000F40C0000}"/>
    <cellStyle name="Normal 5 11 2 2 2" xfId="596" xr:uid="{00000000-0005-0000-0000-0000F50C0000}"/>
    <cellStyle name="Normal 5 11 2 2 2 2" xfId="1269" xr:uid="{00000000-0005-0000-0000-0000F60C0000}"/>
    <cellStyle name="Normal 5 11 2 2 2 2 2" xfId="4634" xr:uid="{00000000-0005-0000-0000-0000F70C0000}"/>
    <cellStyle name="Normal 5 11 2 2 2 2 3" xfId="3192" xr:uid="{00000000-0005-0000-0000-0000F80C0000}"/>
    <cellStyle name="Normal 5 11 2 2 2 3" xfId="1814" xr:uid="{00000000-0005-0000-0000-0000F90C0000}"/>
    <cellStyle name="Normal 5 11 2 2 2 3 2" xfId="5179" xr:uid="{00000000-0005-0000-0000-0000FA0C0000}"/>
    <cellStyle name="Normal 5 11 2 2 2 4" xfId="3964" xr:uid="{00000000-0005-0000-0000-0000FB0C0000}"/>
    <cellStyle name="Normal 5 11 2 2 2 5" xfId="2524" xr:uid="{00000000-0005-0000-0000-0000FC0C0000}"/>
    <cellStyle name="Normal 5 11 2 2 3" xfId="969" xr:uid="{00000000-0005-0000-0000-0000FD0C0000}"/>
    <cellStyle name="Normal 5 11 2 2 3 2" xfId="4334" xr:uid="{00000000-0005-0000-0000-0000FE0C0000}"/>
    <cellStyle name="Normal 5 11 2 2 3 3" xfId="3191" xr:uid="{00000000-0005-0000-0000-0000FF0C0000}"/>
    <cellStyle name="Normal 5 11 2 2 4" xfId="1815" xr:uid="{00000000-0005-0000-0000-0000000D0000}"/>
    <cellStyle name="Normal 5 11 2 2 4 2" xfId="5180" xr:uid="{00000000-0005-0000-0000-0000010D0000}"/>
    <cellStyle name="Normal 5 11 2 2 5" xfId="3664" xr:uid="{00000000-0005-0000-0000-0000020D0000}"/>
    <cellStyle name="Normal 5 11 2 2 6" xfId="2523" xr:uid="{00000000-0005-0000-0000-0000030D0000}"/>
    <cellStyle name="Normal 5 11 2 3" xfId="446" xr:uid="{00000000-0005-0000-0000-0000040D0000}"/>
    <cellStyle name="Normal 5 11 2 3 2" xfId="1119" xr:uid="{00000000-0005-0000-0000-0000050D0000}"/>
    <cellStyle name="Normal 5 11 2 3 2 2" xfId="4484" xr:uid="{00000000-0005-0000-0000-0000060D0000}"/>
    <cellStyle name="Normal 5 11 2 3 2 3" xfId="3193" xr:uid="{00000000-0005-0000-0000-0000070D0000}"/>
    <cellStyle name="Normal 5 11 2 3 3" xfId="1816" xr:uid="{00000000-0005-0000-0000-0000080D0000}"/>
    <cellStyle name="Normal 5 11 2 3 3 2" xfId="5181" xr:uid="{00000000-0005-0000-0000-0000090D0000}"/>
    <cellStyle name="Normal 5 11 2 3 4" xfId="3814" xr:uid="{00000000-0005-0000-0000-00000A0D0000}"/>
    <cellStyle name="Normal 5 11 2 3 5" xfId="2525" xr:uid="{00000000-0005-0000-0000-00000B0D0000}"/>
    <cellStyle name="Normal 5 11 2 4" xfId="819" xr:uid="{00000000-0005-0000-0000-00000C0D0000}"/>
    <cellStyle name="Normal 5 11 2 4 2" xfId="4184" xr:uid="{00000000-0005-0000-0000-00000D0D0000}"/>
    <cellStyle name="Normal 5 11 2 4 3" xfId="3190" xr:uid="{00000000-0005-0000-0000-00000E0D0000}"/>
    <cellStyle name="Normal 5 11 2 5" xfId="1817" xr:uid="{00000000-0005-0000-0000-00000F0D0000}"/>
    <cellStyle name="Normal 5 11 2 5 2" xfId="5182" xr:uid="{00000000-0005-0000-0000-0000100D0000}"/>
    <cellStyle name="Normal 5 11 2 6" xfId="3514" xr:uid="{00000000-0005-0000-0000-0000110D0000}"/>
    <cellStyle name="Normal 5 11 2 7" xfId="2522" xr:uid="{00000000-0005-0000-0000-0000120D0000}"/>
    <cellStyle name="Normal 5 11 3" xfId="221" xr:uid="{00000000-0005-0000-0000-0000130D0000}"/>
    <cellStyle name="Normal 5 11 3 2" xfId="521" xr:uid="{00000000-0005-0000-0000-0000140D0000}"/>
    <cellStyle name="Normal 5 11 3 2 2" xfId="1194" xr:uid="{00000000-0005-0000-0000-0000150D0000}"/>
    <cellStyle name="Normal 5 11 3 2 2 2" xfId="4559" xr:uid="{00000000-0005-0000-0000-0000160D0000}"/>
    <cellStyle name="Normal 5 11 3 2 2 3" xfId="3195" xr:uid="{00000000-0005-0000-0000-0000170D0000}"/>
    <cellStyle name="Normal 5 11 3 2 3" xfId="1818" xr:uid="{00000000-0005-0000-0000-0000180D0000}"/>
    <cellStyle name="Normal 5 11 3 2 3 2" xfId="5183" xr:uid="{00000000-0005-0000-0000-0000190D0000}"/>
    <cellStyle name="Normal 5 11 3 2 4" xfId="3889" xr:uid="{00000000-0005-0000-0000-00001A0D0000}"/>
    <cellStyle name="Normal 5 11 3 2 5" xfId="2527" xr:uid="{00000000-0005-0000-0000-00001B0D0000}"/>
    <cellStyle name="Normal 5 11 3 3" xfId="894" xr:uid="{00000000-0005-0000-0000-00001C0D0000}"/>
    <cellStyle name="Normal 5 11 3 3 2" xfId="4259" xr:uid="{00000000-0005-0000-0000-00001D0D0000}"/>
    <cellStyle name="Normal 5 11 3 3 3" xfId="3194" xr:uid="{00000000-0005-0000-0000-00001E0D0000}"/>
    <cellStyle name="Normal 5 11 3 4" xfId="1819" xr:uid="{00000000-0005-0000-0000-00001F0D0000}"/>
    <cellStyle name="Normal 5 11 3 4 2" xfId="5184" xr:uid="{00000000-0005-0000-0000-0000200D0000}"/>
    <cellStyle name="Normal 5 11 3 5" xfId="3589" xr:uid="{00000000-0005-0000-0000-0000210D0000}"/>
    <cellStyle name="Normal 5 11 3 6" xfId="2526" xr:uid="{00000000-0005-0000-0000-0000220D0000}"/>
    <cellStyle name="Normal 5 11 4" xfId="371" xr:uid="{00000000-0005-0000-0000-0000230D0000}"/>
    <cellStyle name="Normal 5 11 4 2" xfId="1044" xr:uid="{00000000-0005-0000-0000-0000240D0000}"/>
    <cellStyle name="Normal 5 11 4 2 2" xfId="4409" xr:uid="{00000000-0005-0000-0000-0000250D0000}"/>
    <cellStyle name="Normal 5 11 4 2 3" xfId="3196" xr:uid="{00000000-0005-0000-0000-0000260D0000}"/>
    <cellStyle name="Normal 5 11 4 3" xfId="1820" xr:uid="{00000000-0005-0000-0000-0000270D0000}"/>
    <cellStyle name="Normal 5 11 4 3 2" xfId="5185" xr:uid="{00000000-0005-0000-0000-0000280D0000}"/>
    <cellStyle name="Normal 5 11 4 4" xfId="3739" xr:uid="{00000000-0005-0000-0000-0000290D0000}"/>
    <cellStyle name="Normal 5 11 4 5" xfId="2528" xr:uid="{00000000-0005-0000-0000-00002A0D0000}"/>
    <cellStyle name="Normal 5 11 5" xfId="744" xr:uid="{00000000-0005-0000-0000-00002B0D0000}"/>
    <cellStyle name="Normal 5 11 5 2" xfId="4109" xr:uid="{00000000-0005-0000-0000-00002C0D0000}"/>
    <cellStyle name="Normal 5 11 5 3" xfId="2833" xr:uid="{00000000-0005-0000-0000-00002D0D0000}"/>
    <cellStyle name="Normal 5 11 6" xfId="1821" xr:uid="{00000000-0005-0000-0000-00002E0D0000}"/>
    <cellStyle name="Normal 5 11 6 2" xfId="5186" xr:uid="{00000000-0005-0000-0000-00002F0D0000}"/>
    <cellStyle name="Normal 5 11 7" xfId="3439" xr:uid="{00000000-0005-0000-0000-0000300D0000}"/>
    <cellStyle name="Normal 5 11 8" xfId="2165" xr:uid="{00000000-0005-0000-0000-0000310D0000}"/>
    <cellStyle name="Normal 5 12" xfId="139" xr:uid="{00000000-0005-0000-0000-0000320D0000}"/>
    <cellStyle name="Normal 5 12 2" xfId="289" xr:uid="{00000000-0005-0000-0000-0000330D0000}"/>
    <cellStyle name="Normal 5 12 2 2" xfId="589" xr:uid="{00000000-0005-0000-0000-0000340D0000}"/>
    <cellStyle name="Normal 5 12 2 2 2" xfId="1262" xr:uid="{00000000-0005-0000-0000-0000350D0000}"/>
    <cellStyle name="Normal 5 12 2 2 2 2" xfId="4627" xr:uid="{00000000-0005-0000-0000-0000360D0000}"/>
    <cellStyle name="Normal 5 12 2 2 2 3" xfId="3199" xr:uid="{00000000-0005-0000-0000-0000370D0000}"/>
    <cellStyle name="Normal 5 12 2 2 3" xfId="1822" xr:uid="{00000000-0005-0000-0000-0000380D0000}"/>
    <cellStyle name="Normal 5 12 2 2 3 2" xfId="5187" xr:uid="{00000000-0005-0000-0000-0000390D0000}"/>
    <cellStyle name="Normal 5 12 2 2 4" xfId="3957" xr:uid="{00000000-0005-0000-0000-00003A0D0000}"/>
    <cellStyle name="Normal 5 12 2 2 5" xfId="2531" xr:uid="{00000000-0005-0000-0000-00003B0D0000}"/>
    <cellStyle name="Normal 5 12 2 3" xfId="962" xr:uid="{00000000-0005-0000-0000-00003C0D0000}"/>
    <cellStyle name="Normal 5 12 2 3 2" xfId="4327" xr:uid="{00000000-0005-0000-0000-00003D0D0000}"/>
    <cellStyle name="Normal 5 12 2 3 3" xfId="3198" xr:uid="{00000000-0005-0000-0000-00003E0D0000}"/>
    <cellStyle name="Normal 5 12 2 4" xfId="1823" xr:uid="{00000000-0005-0000-0000-00003F0D0000}"/>
    <cellStyle name="Normal 5 12 2 4 2" xfId="5188" xr:uid="{00000000-0005-0000-0000-0000400D0000}"/>
    <cellStyle name="Normal 5 12 2 5" xfId="3657" xr:uid="{00000000-0005-0000-0000-0000410D0000}"/>
    <cellStyle name="Normal 5 12 2 6" xfId="2530" xr:uid="{00000000-0005-0000-0000-0000420D0000}"/>
    <cellStyle name="Normal 5 12 3" xfId="439" xr:uid="{00000000-0005-0000-0000-0000430D0000}"/>
    <cellStyle name="Normal 5 12 3 2" xfId="1112" xr:uid="{00000000-0005-0000-0000-0000440D0000}"/>
    <cellStyle name="Normal 5 12 3 2 2" xfId="4477" xr:uid="{00000000-0005-0000-0000-0000450D0000}"/>
    <cellStyle name="Normal 5 12 3 2 3" xfId="3200" xr:uid="{00000000-0005-0000-0000-0000460D0000}"/>
    <cellStyle name="Normal 5 12 3 3" xfId="1824" xr:uid="{00000000-0005-0000-0000-0000470D0000}"/>
    <cellStyle name="Normal 5 12 3 3 2" xfId="5189" xr:uid="{00000000-0005-0000-0000-0000480D0000}"/>
    <cellStyle name="Normal 5 12 3 4" xfId="3807" xr:uid="{00000000-0005-0000-0000-0000490D0000}"/>
    <cellStyle name="Normal 5 12 3 5" xfId="2532" xr:uid="{00000000-0005-0000-0000-00004A0D0000}"/>
    <cellStyle name="Normal 5 12 4" xfId="812" xr:uid="{00000000-0005-0000-0000-00004B0D0000}"/>
    <cellStyle name="Normal 5 12 4 2" xfId="4177" xr:uid="{00000000-0005-0000-0000-00004C0D0000}"/>
    <cellStyle name="Normal 5 12 4 3" xfId="3197" xr:uid="{00000000-0005-0000-0000-00004D0D0000}"/>
    <cellStyle name="Normal 5 12 5" xfId="1825" xr:uid="{00000000-0005-0000-0000-00004E0D0000}"/>
    <cellStyle name="Normal 5 12 5 2" xfId="5190" xr:uid="{00000000-0005-0000-0000-00004F0D0000}"/>
    <cellStyle name="Normal 5 12 6" xfId="3507" xr:uid="{00000000-0005-0000-0000-0000500D0000}"/>
    <cellStyle name="Normal 5 12 7" xfId="2529" xr:uid="{00000000-0005-0000-0000-0000510D0000}"/>
    <cellStyle name="Normal 5 13" xfId="214" xr:uid="{00000000-0005-0000-0000-0000520D0000}"/>
    <cellStyle name="Normal 5 13 2" xfId="514" xr:uid="{00000000-0005-0000-0000-0000530D0000}"/>
    <cellStyle name="Normal 5 13 2 2" xfId="1187" xr:uid="{00000000-0005-0000-0000-0000540D0000}"/>
    <cellStyle name="Normal 5 13 2 2 2" xfId="4552" xr:uid="{00000000-0005-0000-0000-0000550D0000}"/>
    <cellStyle name="Normal 5 13 2 2 3" xfId="3202" xr:uid="{00000000-0005-0000-0000-0000560D0000}"/>
    <cellStyle name="Normal 5 13 2 3" xfId="1826" xr:uid="{00000000-0005-0000-0000-0000570D0000}"/>
    <cellStyle name="Normal 5 13 2 3 2" xfId="5191" xr:uid="{00000000-0005-0000-0000-0000580D0000}"/>
    <cellStyle name="Normal 5 13 2 4" xfId="3882" xr:uid="{00000000-0005-0000-0000-0000590D0000}"/>
    <cellStyle name="Normal 5 13 2 5" xfId="2534" xr:uid="{00000000-0005-0000-0000-00005A0D0000}"/>
    <cellStyle name="Normal 5 13 3" xfId="887" xr:uid="{00000000-0005-0000-0000-00005B0D0000}"/>
    <cellStyle name="Normal 5 13 3 2" xfId="4252" xr:uid="{00000000-0005-0000-0000-00005C0D0000}"/>
    <cellStyle name="Normal 5 13 3 3" xfId="3201" xr:uid="{00000000-0005-0000-0000-00005D0D0000}"/>
    <cellStyle name="Normal 5 13 4" xfId="1827" xr:uid="{00000000-0005-0000-0000-00005E0D0000}"/>
    <cellStyle name="Normal 5 13 4 2" xfId="5192" xr:uid="{00000000-0005-0000-0000-00005F0D0000}"/>
    <cellStyle name="Normal 5 13 5" xfId="3582" xr:uid="{00000000-0005-0000-0000-0000600D0000}"/>
    <cellStyle name="Normal 5 13 6" xfId="2533" xr:uid="{00000000-0005-0000-0000-0000610D0000}"/>
    <cellStyle name="Normal 5 14" xfId="364" xr:uid="{00000000-0005-0000-0000-0000620D0000}"/>
    <cellStyle name="Normal 5 14 2" xfId="1037" xr:uid="{00000000-0005-0000-0000-0000630D0000}"/>
    <cellStyle name="Normal 5 14 2 2" xfId="4402" xr:uid="{00000000-0005-0000-0000-0000640D0000}"/>
    <cellStyle name="Normal 5 14 2 3" xfId="3203" xr:uid="{00000000-0005-0000-0000-0000650D0000}"/>
    <cellStyle name="Normal 5 14 3" xfId="1828" xr:uid="{00000000-0005-0000-0000-0000660D0000}"/>
    <cellStyle name="Normal 5 14 3 2" xfId="5193" xr:uid="{00000000-0005-0000-0000-0000670D0000}"/>
    <cellStyle name="Normal 5 14 4" xfId="3732" xr:uid="{00000000-0005-0000-0000-0000680D0000}"/>
    <cellStyle name="Normal 5 14 5" xfId="2535" xr:uid="{00000000-0005-0000-0000-0000690D0000}"/>
    <cellStyle name="Normal 5 15" xfId="662" xr:uid="{00000000-0005-0000-0000-00006A0D0000}"/>
    <cellStyle name="Normal 5 15 2" xfId="1335" xr:uid="{00000000-0005-0000-0000-00006B0D0000}"/>
    <cellStyle name="Normal 5 15 2 2" xfId="4700" xr:uid="{00000000-0005-0000-0000-00006C0D0000}"/>
    <cellStyle name="Normal 5 15 2 3" xfId="3204" xr:uid="{00000000-0005-0000-0000-00006D0D0000}"/>
    <cellStyle name="Normal 5 15 3" xfId="1829" xr:uid="{00000000-0005-0000-0000-00006E0D0000}"/>
    <cellStyle name="Normal 5 15 3 2" xfId="5194" xr:uid="{00000000-0005-0000-0000-00006F0D0000}"/>
    <cellStyle name="Normal 5 15 4" xfId="4030" xr:uid="{00000000-0005-0000-0000-0000700D0000}"/>
    <cellStyle name="Normal 5 15 5" xfId="2536" xr:uid="{00000000-0005-0000-0000-0000710D0000}"/>
    <cellStyle name="Normal 5 16" xfId="737" xr:uid="{00000000-0005-0000-0000-0000720D0000}"/>
    <cellStyle name="Normal 5 16 2" xfId="4102" xr:uid="{00000000-0005-0000-0000-0000730D0000}"/>
    <cellStyle name="Normal 5 16 3" xfId="2766" xr:uid="{00000000-0005-0000-0000-0000740D0000}"/>
    <cellStyle name="Normal 5 17" xfId="1830" xr:uid="{00000000-0005-0000-0000-0000750D0000}"/>
    <cellStyle name="Normal 5 17 2" xfId="5195" xr:uid="{00000000-0005-0000-0000-0000760D0000}"/>
    <cellStyle name="Normal 5 18" xfId="3432" xr:uid="{00000000-0005-0000-0000-0000770D0000}"/>
    <cellStyle name="Normal 5 19" xfId="2095" xr:uid="{00000000-0005-0000-0000-0000780D0000}"/>
    <cellStyle name="Normal 5 2" xfId="75" xr:uid="{00000000-0005-0000-0000-0000790D0000}"/>
    <cellStyle name="Normal 5 2 10" xfId="2094" xr:uid="{00000000-0005-0000-0000-00007A0D0000}"/>
    <cellStyle name="Normal 5 2 2" xfId="103" xr:uid="{00000000-0005-0000-0000-00007B0D0000}"/>
    <cellStyle name="Normal 5 2 2 2" xfId="178" xr:uid="{00000000-0005-0000-0000-00007C0D0000}"/>
    <cellStyle name="Normal 5 2 2 2 2" xfId="328" xr:uid="{00000000-0005-0000-0000-00007D0D0000}"/>
    <cellStyle name="Normal 5 2 2 2 2 2" xfId="628" xr:uid="{00000000-0005-0000-0000-00007E0D0000}"/>
    <cellStyle name="Normal 5 2 2 2 2 2 2" xfId="1301" xr:uid="{00000000-0005-0000-0000-00007F0D0000}"/>
    <cellStyle name="Normal 5 2 2 2 2 2 2 2" xfId="4666" xr:uid="{00000000-0005-0000-0000-0000800D0000}"/>
    <cellStyle name="Normal 5 2 2 2 2 2 2 3" xfId="3207" xr:uid="{00000000-0005-0000-0000-0000810D0000}"/>
    <cellStyle name="Normal 5 2 2 2 2 2 3" xfId="1831" xr:uid="{00000000-0005-0000-0000-0000820D0000}"/>
    <cellStyle name="Normal 5 2 2 2 2 2 3 2" xfId="5196" xr:uid="{00000000-0005-0000-0000-0000830D0000}"/>
    <cellStyle name="Normal 5 2 2 2 2 2 4" xfId="3996" xr:uid="{00000000-0005-0000-0000-0000840D0000}"/>
    <cellStyle name="Normal 5 2 2 2 2 2 5" xfId="2539" xr:uid="{00000000-0005-0000-0000-0000850D0000}"/>
    <cellStyle name="Normal 5 2 2 2 2 3" xfId="1001" xr:uid="{00000000-0005-0000-0000-0000860D0000}"/>
    <cellStyle name="Normal 5 2 2 2 2 3 2" xfId="4366" xr:uid="{00000000-0005-0000-0000-0000870D0000}"/>
    <cellStyle name="Normal 5 2 2 2 2 3 3" xfId="3206" xr:uid="{00000000-0005-0000-0000-0000880D0000}"/>
    <cellStyle name="Normal 5 2 2 2 2 4" xfId="1832" xr:uid="{00000000-0005-0000-0000-0000890D0000}"/>
    <cellStyle name="Normal 5 2 2 2 2 4 2" xfId="5197" xr:uid="{00000000-0005-0000-0000-00008A0D0000}"/>
    <cellStyle name="Normal 5 2 2 2 2 5" xfId="3696" xr:uid="{00000000-0005-0000-0000-00008B0D0000}"/>
    <cellStyle name="Normal 5 2 2 2 2 6" xfId="2538" xr:uid="{00000000-0005-0000-0000-00008C0D0000}"/>
    <cellStyle name="Normal 5 2 2 2 3" xfId="478" xr:uid="{00000000-0005-0000-0000-00008D0D0000}"/>
    <cellStyle name="Normal 5 2 2 2 3 2" xfId="1151" xr:uid="{00000000-0005-0000-0000-00008E0D0000}"/>
    <cellStyle name="Normal 5 2 2 2 3 2 2" xfId="4516" xr:uid="{00000000-0005-0000-0000-00008F0D0000}"/>
    <cellStyle name="Normal 5 2 2 2 3 2 3" xfId="3208" xr:uid="{00000000-0005-0000-0000-0000900D0000}"/>
    <cellStyle name="Normal 5 2 2 2 3 3" xfId="1833" xr:uid="{00000000-0005-0000-0000-0000910D0000}"/>
    <cellStyle name="Normal 5 2 2 2 3 3 2" xfId="5198" xr:uid="{00000000-0005-0000-0000-0000920D0000}"/>
    <cellStyle name="Normal 5 2 2 2 3 4" xfId="3846" xr:uid="{00000000-0005-0000-0000-0000930D0000}"/>
    <cellStyle name="Normal 5 2 2 2 3 5" xfId="2540" xr:uid="{00000000-0005-0000-0000-0000940D0000}"/>
    <cellStyle name="Normal 5 2 2 2 4" xfId="851" xr:uid="{00000000-0005-0000-0000-0000950D0000}"/>
    <cellStyle name="Normal 5 2 2 2 4 2" xfId="4216" xr:uid="{00000000-0005-0000-0000-0000960D0000}"/>
    <cellStyle name="Normal 5 2 2 2 4 3" xfId="3205" xr:uid="{00000000-0005-0000-0000-0000970D0000}"/>
    <cellStyle name="Normal 5 2 2 2 5" xfId="1834" xr:uid="{00000000-0005-0000-0000-0000980D0000}"/>
    <cellStyle name="Normal 5 2 2 2 5 2" xfId="5199" xr:uid="{00000000-0005-0000-0000-0000990D0000}"/>
    <cellStyle name="Normal 5 2 2 2 6" xfId="3546" xr:uid="{00000000-0005-0000-0000-00009A0D0000}"/>
    <cellStyle name="Normal 5 2 2 2 7" xfId="2537" xr:uid="{00000000-0005-0000-0000-00009B0D0000}"/>
    <cellStyle name="Normal 5 2 2 3" xfId="253" xr:uid="{00000000-0005-0000-0000-00009C0D0000}"/>
    <cellStyle name="Normal 5 2 2 3 2" xfId="553" xr:uid="{00000000-0005-0000-0000-00009D0D0000}"/>
    <cellStyle name="Normal 5 2 2 3 2 2" xfId="1226" xr:uid="{00000000-0005-0000-0000-00009E0D0000}"/>
    <cellStyle name="Normal 5 2 2 3 2 2 2" xfId="4591" xr:uid="{00000000-0005-0000-0000-00009F0D0000}"/>
    <cellStyle name="Normal 5 2 2 3 2 2 3" xfId="3210" xr:uid="{00000000-0005-0000-0000-0000A00D0000}"/>
    <cellStyle name="Normal 5 2 2 3 2 3" xfId="1835" xr:uid="{00000000-0005-0000-0000-0000A10D0000}"/>
    <cellStyle name="Normal 5 2 2 3 2 3 2" xfId="5200" xr:uid="{00000000-0005-0000-0000-0000A20D0000}"/>
    <cellStyle name="Normal 5 2 2 3 2 4" xfId="3921" xr:uid="{00000000-0005-0000-0000-0000A30D0000}"/>
    <cellStyle name="Normal 5 2 2 3 2 5" xfId="2542" xr:uid="{00000000-0005-0000-0000-0000A40D0000}"/>
    <cellStyle name="Normal 5 2 2 3 3" xfId="926" xr:uid="{00000000-0005-0000-0000-0000A50D0000}"/>
    <cellStyle name="Normal 5 2 2 3 3 2" xfId="4291" xr:uid="{00000000-0005-0000-0000-0000A60D0000}"/>
    <cellStyle name="Normal 5 2 2 3 3 3" xfId="3209" xr:uid="{00000000-0005-0000-0000-0000A70D0000}"/>
    <cellStyle name="Normal 5 2 2 3 4" xfId="1836" xr:uid="{00000000-0005-0000-0000-0000A80D0000}"/>
    <cellStyle name="Normal 5 2 2 3 4 2" xfId="5201" xr:uid="{00000000-0005-0000-0000-0000A90D0000}"/>
    <cellStyle name="Normal 5 2 2 3 5" xfId="3621" xr:uid="{00000000-0005-0000-0000-0000AA0D0000}"/>
    <cellStyle name="Normal 5 2 2 3 6" xfId="2541" xr:uid="{00000000-0005-0000-0000-0000AB0D0000}"/>
    <cellStyle name="Normal 5 2 2 4" xfId="403" xr:uid="{00000000-0005-0000-0000-0000AC0D0000}"/>
    <cellStyle name="Normal 5 2 2 4 2" xfId="1076" xr:uid="{00000000-0005-0000-0000-0000AD0D0000}"/>
    <cellStyle name="Normal 5 2 2 4 2 2" xfId="4441" xr:uid="{00000000-0005-0000-0000-0000AE0D0000}"/>
    <cellStyle name="Normal 5 2 2 4 2 3" xfId="3211" xr:uid="{00000000-0005-0000-0000-0000AF0D0000}"/>
    <cellStyle name="Normal 5 2 2 4 3" xfId="1837" xr:uid="{00000000-0005-0000-0000-0000B00D0000}"/>
    <cellStyle name="Normal 5 2 2 4 3 2" xfId="5202" xr:uid="{00000000-0005-0000-0000-0000B10D0000}"/>
    <cellStyle name="Normal 5 2 2 4 4" xfId="3771" xr:uid="{00000000-0005-0000-0000-0000B20D0000}"/>
    <cellStyle name="Normal 5 2 2 4 5" xfId="2543" xr:uid="{00000000-0005-0000-0000-0000B30D0000}"/>
    <cellStyle name="Normal 5 2 2 5" xfId="689" xr:uid="{00000000-0005-0000-0000-0000B40D0000}"/>
    <cellStyle name="Normal 5 2 2 5 2" xfId="1362" xr:uid="{00000000-0005-0000-0000-0000B50D0000}"/>
    <cellStyle name="Normal 5 2 2 5 2 2" xfId="4727" xr:uid="{00000000-0005-0000-0000-0000B60D0000}"/>
    <cellStyle name="Normal 5 2 2 5 2 3" xfId="3212" xr:uid="{00000000-0005-0000-0000-0000B70D0000}"/>
    <cellStyle name="Normal 5 2 2 5 3" xfId="1838" xr:uid="{00000000-0005-0000-0000-0000B80D0000}"/>
    <cellStyle name="Normal 5 2 2 5 3 2" xfId="5203" xr:uid="{00000000-0005-0000-0000-0000B90D0000}"/>
    <cellStyle name="Normal 5 2 2 5 4" xfId="4057" xr:uid="{00000000-0005-0000-0000-0000BA0D0000}"/>
    <cellStyle name="Normal 5 2 2 5 5" xfId="2544" xr:uid="{00000000-0005-0000-0000-0000BB0D0000}"/>
    <cellStyle name="Normal 5 2 2 6" xfId="776" xr:uid="{00000000-0005-0000-0000-0000BC0D0000}"/>
    <cellStyle name="Normal 5 2 2 6 2" xfId="4141" xr:uid="{00000000-0005-0000-0000-0000BD0D0000}"/>
    <cellStyle name="Normal 5 2 2 6 3" xfId="2789" xr:uid="{00000000-0005-0000-0000-0000BE0D0000}"/>
    <cellStyle name="Normal 5 2 2 7" xfId="1839" xr:uid="{00000000-0005-0000-0000-0000BF0D0000}"/>
    <cellStyle name="Normal 5 2 2 7 2" xfId="5204" xr:uid="{00000000-0005-0000-0000-0000C00D0000}"/>
    <cellStyle name="Normal 5 2 2 8" xfId="3471" xr:uid="{00000000-0005-0000-0000-0000C10D0000}"/>
    <cellStyle name="Normal 5 2 2 9" xfId="2118" xr:uid="{00000000-0005-0000-0000-0000C20D0000}"/>
    <cellStyle name="Normal 5 2 3" xfId="152" xr:uid="{00000000-0005-0000-0000-0000C30D0000}"/>
    <cellStyle name="Normal 5 2 3 2" xfId="302" xr:uid="{00000000-0005-0000-0000-0000C40D0000}"/>
    <cellStyle name="Normal 5 2 3 2 2" xfId="602" xr:uid="{00000000-0005-0000-0000-0000C50D0000}"/>
    <cellStyle name="Normal 5 2 3 2 2 2" xfId="1275" xr:uid="{00000000-0005-0000-0000-0000C60D0000}"/>
    <cellStyle name="Normal 5 2 3 2 2 2 2" xfId="4640" xr:uid="{00000000-0005-0000-0000-0000C70D0000}"/>
    <cellStyle name="Normal 5 2 3 2 2 2 3" xfId="3215" xr:uid="{00000000-0005-0000-0000-0000C80D0000}"/>
    <cellStyle name="Normal 5 2 3 2 2 3" xfId="1840" xr:uid="{00000000-0005-0000-0000-0000C90D0000}"/>
    <cellStyle name="Normal 5 2 3 2 2 3 2" xfId="5205" xr:uid="{00000000-0005-0000-0000-0000CA0D0000}"/>
    <cellStyle name="Normal 5 2 3 2 2 4" xfId="3970" xr:uid="{00000000-0005-0000-0000-0000CB0D0000}"/>
    <cellStyle name="Normal 5 2 3 2 2 5" xfId="2547" xr:uid="{00000000-0005-0000-0000-0000CC0D0000}"/>
    <cellStyle name="Normal 5 2 3 2 3" xfId="975" xr:uid="{00000000-0005-0000-0000-0000CD0D0000}"/>
    <cellStyle name="Normal 5 2 3 2 3 2" xfId="4340" xr:uid="{00000000-0005-0000-0000-0000CE0D0000}"/>
    <cellStyle name="Normal 5 2 3 2 3 3" xfId="3214" xr:uid="{00000000-0005-0000-0000-0000CF0D0000}"/>
    <cellStyle name="Normal 5 2 3 2 4" xfId="1841" xr:uid="{00000000-0005-0000-0000-0000D00D0000}"/>
    <cellStyle name="Normal 5 2 3 2 4 2" xfId="5206" xr:uid="{00000000-0005-0000-0000-0000D10D0000}"/>
    <cellStyle name="Normal 5 2 3 2 5" xfId="3670" xr:uid="{00000000-0005-0000-0000-0000D20D0000}"/>
    <cellStyle name="Normal 5 2 3 2 6" xfId="2546" xr:uid="{00000000-0005-0000-0000-0000D30D0000}"/>
    <cellStyle name="Normal 5 2 3 3" xfId="452" xr:uid="{00000000-0005-0000-0000-0000D40D0000}"/>
    <cellStyle name="Normal 5 2 3 3 2" xfId="1125" xr:uid="{00000000-0005-0000-0000-0000D50D0000}"/>
    <cellStyle name="Normal 5 2 3 3 2 2" xfId="4490" xr:uid="{00000000-0005-0000-0000-0000D60D0000}"/>
    <cellStyle name="Normal 5 2 3 3 2 3" xfId="3216" xr:uid="{00000000-0005-0000-0000-0000D70D0000}"/>
    <cellStyle name="Normal 5 2 3 3 3" xfId="1842" xr:uid="{00000000-0005-0000-0000-0000D80D0000}"/>
    <cellStyle name="Normal 5 2 3 3 3 2" xfId="5207" xr:uid="{00000000-0005-0000-0000-0000D90D0000}"/>
    <cellStyle name="Normal 5 2 3 3 4" xfId="3820" xr:uid="{00000000-0005-0000-0000-0000DA0D0000}"/>
    <cellStyle name="Normal 5 2 3 3 5" xfId="2548" xr:uid="{00000000-0005-0000-0000-0000DB0D0000}"/>
    <cellStyle name="Normal 5 2 3 4" xfId="825" xr:uid="{00000000-0005-0000-0000-0000DC0D0000}"/>
    <cellStyle name="Normal 5 2 3 4 2" xfId="4190" xr:uid="{00000000-0005-0000-0000-0000DD0D0000}"/>
    <cellStyle name="Normal 5 2 3 4 3" xfId="3213" xr:uid="{00000000-0005-0000-0000-0000DE0D0000}"/>
    <cellStyle name="Normal 5 2 3 5" xfId="1843" xr:uid="{00000000-0005-0000-0000-0000DF0D0000}"/>
    <cellStyle name="Normal 5 2 3 5 2" xfId="5208" xr:uid="{00000000-0005-0000-0000-0000E00D0000}"/>
    <cellStyle name="Normal 5 2 3 6" xfId="3520" xr:uid="{00000000-0005-0000-0000-0000E10D0000}"/>
    <cellStyle name="Normal 5 2 3 7" xfId="2545" xr:uid="{00000000-0005-0000-0000-0000E20D0000}"/>
    <cellStyle name="Normal 5 2 4" xfId="227" xr:uid="{00000000-0005-0000-0000-0000E30D0000}"/>
    <cellStyle name="Normal 5 2 4 2" xfId="527" xr:uid="{00000000-0005-0000-0000-0000E40D0000}"/>
    <cellStyle name="Normal 5 2 4 2 2" xfId="1200" xr:uid="{00000000-0005-0000-0000-0000E50D0000}"/>
    <cellStyle name="Normal 5 2 4 2 2 2" xfId="4565" xr:uid="{00000000-0005-0000-0000-0000E60D0000}"/>
    <cellStyle name="Normal 5 2 4 2 2 3" xfId="3218" xr:uid="{00000000-0005-0000-0000-0000E70D0000}"/>
    <cellStyle name="Normal 5 2 4 2 3" xfId="1844" xr:uid="{00000000-0005-0000-0000-0000E80D0000}"/>
    <cellStyle name="Normal 5 2 4 2 3 2" xfId="5209" xr:uid="{00000000-0005-0000-0000-0000E90D0000}"/>
    <cellStyle name="Normal 5 2 4 2 4" xfId="3895" xr:uid="{00000000-0005-0000-0000-0000EA0D0000}"/>
    <cellStyle name="Normal 5 2 4 2 5" xfId="2550" xr:uid="{00000000-0005-0000-0000-0000EB0D0000}"/>
    <cellStyle name="Normal 5 2 4 3" xfId="900" xr:uid="{00000000-0005-0000-0000-0000EC0D0000}"/>
    <cellStyle name="Normal 5 2 4 3 2" xfId="4265" xr:uid="{00000000-0005-0000-0000-0000ED0D0000}"/>
    <cellStyle name="Normal 5 2 4 3 3" xfId="3217" xr:uid="{00000000-0005-0000-0000-0000EE0D0000}"/>
    <cellStyle name="Normal 5 2 4 4" xfId="1845" xr:uid="{00000000-0005-0000-0000-0000EF0D0000}"/>
    <cellStyle name="Normal 5 2 4 4 2" xfId="5210" xr:uid="{00000000-0005-0000-0000-0000F00D0000}"/>
    <cellStyle name="Normal 5 2 4 5" xfId="3595" xr:uid="{00000000-0005-0000-0000-0000F10D0000}"/>
    <cellStyle name="Normal 5 2 4 6" xfId="2549" xr:uid="{00000000-0005-0000-0000-0000F20D0000}"/>
    <cellStyle name="Normal 5 2 5" xfId="377" xr:uid="{00000000-0005-0000-0000-0000F30D0000}"/>
    <cellStyle name="Normal 5 2 5 2" xfId="1050" xr:uid="{00000000-0005-0000-0000-0000F40D0000}"/>
    <cellStyle name="Normal 5 2 5 2 2" xfId="4415" xr:uid="{00000000-0005-0000-0000-0000F50D0000}"/>
    <cellStyle name="Normal 5 2 5 2 3" xfId="3219" xr:uid="{00000000-0005-0000-0000-0000F60D0000}"/>
    <cellStyle name="Normal 5 2 5 3" xfId="1846" xr:uid="{00000000-0005-0000-0000-0000F70D0000}"/>
    <cellStyle name="Normal 5 2 5 3 2" xfId="5211" xr:uid="{00000000-0005-0000-0000-0000F80D0000}"/>
    <cellStyle name="Normal 5 2 5 4" xfId="3745" xr:uid="{00000000-0005-0000-0000-0000F90D0000}"/>
    <cellStyle name="Normal 5 2 5 5" xfId="2551" xr:uid="{00000000-0005-0000-0000-0000FA0D0000}"/>
    <cellStyle name="Normal 5 2 6" xfId="663" xr:uid="{00000000-0005-0000-0000-0000FB0D0000}"/>
    <cellStyle name="Normal 5 2 6 2" xfId="1336" xr:uid="{00000000-0005-0000-0000-0000FC0D0000}"/>
    <cellStyle name="Normal 5 2 6 2 2" xfId="4701" xr:uid="{00000000-0005-0000-0000-0000FD0D0000}"/>
    <cellStyle name="Normal 5 2 6 2 3" xfId="3220" xr:uid="{00000000-0005-0000-0000-0000FE0D0000}"/>
    <cellStyle name="Normal 5 2 6 3" xfId="1847" xr:uid="{00000000-0005-0000-0000-0000FF0D0000}"/>
    <cellStyle name="Normal 5 2 6 3 2" xfId="5212" xr:uid="{00000000-0005-0000-0000-0000000E0000}"/>
    <cellStyle name="Normal 5 2 6 4" xfId="4031" xr:uid="{00000000-0005-0000-0000-0000010E0000}"/>
    <cellStyle name="Normal 5 2 6 5" xfId="2552" xr:uid="{00000000-0005-0000-0000-0000020E0000}"/>
    <cellStyle name="Normal 5 2 7" xfId="750" xr:uid="{00000000-0005-0000-0000-0000030E0000}"/>
    <cellStyle name="Normal 5 2 7 2" xfId="4115" xr:uid="{00000000-0005-0000-0000-0000040E0000}"/>
    <cellStyle name="Normal 5 2 7 3" xfId="2765" xr:uid="{00000000-0005-0000-0000-0000050E0000}"/>
    <cellStyle name="Normal 5 2 8" xfId="1848" xr:uid="{00000000-0005-0000-0000-0000060E0000}"/>
    <cellStyle name="Normal 5 2 8 2" xfId="5213" xr:uid="{00000000-0005-0000-0000-0000070E0000}"/>
    <cellStyle name="Normal 5 2 9" xfId="3445" xr:uid="{00000000-0005-0000-0000-0000080E0000}"/>
    <cellStyle name="Normal 5 3" xfId="77" xr:uid="{00000000-0005-0000-0000-0000090E0000}"/>
    <cellStyle name="Normal 5 3 10" xfId="751" xr:uid="{00000000-0005-0000-0000-00000A0E0000}"/>
    <cellStyle name="Normal 5 3 10 2" xfId="4116" xr:uid="{00000000-0005-0000-0000-00000B0E0000}"/>
    <cellStyle name="Normal 5 3 10 3" xfId="2767" xr:uid="{00000000-0005-0000-0000-00000C0E0000}"/>
    <cellStyle name="Normal 5 3 11" xfId="1849" xr:uid="{00000000-0005-0000-0000-00000D0E0000}"/>
    <cellStyle name="Normal 5 3 11 2" xfId="5214" xr:uid="{00000000-0005-0000-0000-00000E0E0000}"/>
    <cellStyle name="Normal 5 3 12" xfId="3446" xr:uid="{00000000-0005-0000-0000-00000F0E0000}"/>
    <cellStyle name="Normal 5 3 13" xfId="2096" xr:uid="{00000000-0005-0000-0000-0000100E0000}"/>
    <cellStyle name="Normal 5 3 2" xfId="104" xr:uid="{00000000-0005-0000-0000-0000110E0000}"/>
    <cellStyle name="Normal 5 3 2 2" xfId="179" xr:uid="{00000000-0005-0000-0000-0000120E0000}"/>
    <cellStyle name="Normal 5 3 2 2 2" xfId="329" xr:uid="{00000000-0005-0000-0000-0000130E0000}"/>
    <cellStyle name="Normal 5 3 2 2 2 2" xfId="629" xr:uid="{00000000-0005-0000-0000-0000140E0000}"/>
    <cellStyle name="Normal 5 3 2 2 2 2 2" xfId="1302" xr:uid="{00000000-0005-0000-0000-0000150E0000}"/>
    <cellStyle name="Normal 5 3 2 2 2 2 2 2" xfId="4667" xr:uid="{00000000-0005-0000-0000-0000160E0000}"/>
    <cellStyle name="Normal 5 3 2 2 2 2 2 3" xfId="3223" xr:uid="{00000000-0005-0000-0000-0000170E0000}"/>
    <cellStyle name="Normal 5 3 2 2 2 2 3" xfId="1850" xr:uid="{00000000-0005-0000-0000-0000180E0000}"/>
    <cellStyle name="Normal 5 3 2 2 2 2 3 2" xfId="5215" xr:uid="{00000000-0005-0000-0000-0000190E0000}"/>
    <cellStyle name="Normal 5 3 2 2 2 2 4" xfId="3997" xr:uid="{00000000-0005-0000-0000-00001A0E0000}"/>
    <cellStyle name="Normal 5 3 2 2 2 2 5" xfId="2555" xr:uid="{00000000-0005-0000-0000-00001B0E0000}"/>
    <cellStyle name="Normal 5 3 2 2 2 3" xfId="1002" xr:uid="{00000000-0005-0000-0000-00001C0E0000}"/>
    <cellStyle name="Normal 5 3 2 2 2 3 2" xfId="4367" xr:uid="{00000000-0005-0000-0000-00001D0E0000}"/>
    <cellStyle name="Normal 5 3 2 2 2 3 3" xfId="3222" xr:uid="{00000000-0005-0000-0000-00001E0E0000}"/>
    <cellStyle name="Normal 5 3 2 2 2 4" xfId="1851" xr:uid="{00000000-0005-0000-0000-00001F0E0000}"/>
    <cellStyle name="Normal 5 3 2 2 2 4 2" xfId="5216" xr:uid="{00000000-0005-0000-0000-0000200E0000}"/>
    <cellStyle name="Normal 5 3 2 2 2 5" xfId="3697" xr:uid="{00000000-0005-0000-0000-0000210E0000}"/>
    <cellStyle name="Normal 5 3 2 2 2 6" xfId="2554" xr:uid="{00000000-0005-0000-0000-0000220E0000}"/>
    <cellStyle name="Normal 5 3 2 2 3" xfId="479" xr:uid="{00000000-0005-0000-0000-0000230E0000}"/>
    <cellStyle name="Normal 5 3 2 2 3 2" xfId="1152" xr:uid="{00000000-0005-0000-0000-0000240E0000}"/>
    <cellStyle name="Normal 5 3 2 2 3 2 2" xfId="4517" xr:uid="{00000000-0005-0000-0000-0000250E0000}"/>
    <cellStyle name="Normal 5 3 2 2 3 2 3" xfId="3224" xr:uid="{00000000-0005-0000-0000-0000260E0000}"/>
    <cellStyle name="Normal 5 3 2 2 3 3" xfId="1852" xr:uid="{00000000-0005-0000-0000-0000270E0000}"/>
    <cellStyle name="Normal 5 3 2 2 3 3 2" xfId="5217" xr:uid="{00000000-0005-0000-0000-0000280E0000}"/>
    <cellStyle name="Normal 5 3 2 2 3 4" xfId="3847" xr:uid="{00000000-0005-0000-0000-0000290E0000}"/>
    <cellStyle name="Normal 5 3 2 2 3 5" xfId="2556" xr:uid="{00000000-0005-0000-0000-00002A0E0000}"/>
    <cellStyle name="Normal 5 3 2 2 4" xfId="852" xr:uid="{00000000-0005-0000-0000-00002B0E0000}"/>
    <cellStyle name="Normal 5 3 2 2 4 2" xfId="4217" xr:uid="{00000000-0005-0000-0000-00002C0E0000}"/>
    <cellStyle name="Normal 5 3 2 2 4 3" xfId="3221" xr:uid="{00000000-0005-0000-0000-00002D0E0000}"/>
    <cellStyle name="Normal 5 3 2 2 5" xfId="1853" xr:uid="{00000000-0005-0000-0000-00002E0E0000}"/>
    <cellStyle name="Normal 5 3 2 2 5 2" xfId="5218" xr:uid="{00000000-0005-0000-0000-00002F0E0000}"/>
    <cellStyle name="Normal 5 3 2 2 6" xfId="3547" xr:uid="{00000000-0005-0000-0000-0000300E0000}"/>
    <cellStyle name="Normal 5 3 2 2 7" xfId="2553" xr:uid="{00000000-0005-0000-0000-0000310E0000}"/>
    <cellStyle name="Normal 5 3 2 3" xfId="254" xr:uid="{00000000-0005-0000-0000-0000320E0000}"/>
    <cellStyle name="Normal 5 3 2 3 2" xfId="554" xr:uid="{00000000-0005-0000-0000-0000330E0000}"/>
    <cellStyle name="Normal 5 3 2 3 2 2" xfId="1227" xr:uid="{00000000-0005-0000-0000-0000340E0000}"/>
    <cellStyle name="Normal 5 3 2 3 2 2 2" xfId="4592" xr:uid="{00000000-0005-0000-0000-0000350E0000}"/>
    <cellStyle name="Normal 5 3 2 3 2 2 3" xfId="3226" xr:uid="{00000000-0005-0000-0000-0000360E0000}"/>
    <cellStyle name="Normal 5 3 2 3 2 3" xfId="1854" xr:uid="{00000000-0005-0000-0000-0000370E0000}"/>
    <cellStyle name="Normal 5 3 2 3 2 3 2" xfId="5219" xr:uid="{00000000-0005-0000-0000-0000380E0000}"/>
    <cellStyle name="Normal 5 3 2 3 2 4" xfId="3922" xr:uid="{00000000-0005-0000-0000-0000390E0000}"/>
    <cellStyle name="Normal 5 3 2 3 2 5" xfId="2558" xr:uid="{00000000-0005-0000-0000-00003A0E0000}"/>
    <cellStyle name="Normal 5 3 2 3 3" xfId="927" xr:uid="{00000000-0005-0000-0000-00003B0E0000}"/>
    <cellStyle name="Normal 5 3 2 3 3 2" xfId="4292" xr:uid="{00000000-0005-0000-0000-00003C0E0000}"/>
    <cellStyle name="Normal 5 3 2 3 3 3" xfId="3225" xr:uid="{00000000-0005-0000-0000-00003D0E0000}"/>
    <cellStyle name="Normal 5 3 2 3 4" xfId="1855" xr:uid="{00000000-0005-0000-0000-00003E0E0000}"/>
    <cellStyle name="Normal 5 3 2 3 4 2" xfId="5220" xr:uid="{00000000-0005-0000-0000-00003F0E0000}"/>
    <cellStyle name="Normal 5 3 2 3 5" xfId="3622" xr:uid="{00000000-0005-0000-0000-0000400E0000}"/>
    <cellStyle name="Normal 5 3 2 3 6" xfId="2557" xr:uid="{00000000-0005-0000-0000-0000410E0000}"/>
    <cellStyle name="Normal 5 3 2 4" xfId="404" xr:uid="{00000000-0005-0000-0000-0000420E0000}"/>
    <cellStyle name="Normal 5 3 2 4 2" xfId="1077" xr:uid="{00000000-0005-0000-0000-0000430E0000}"/>
    <cellStyle name="Normal 5 3 2 4 2 2" xfId="4442" xr:uid="{00000000-0005-0000-0000-0000440E0000}"/>
    <cellStyle name="Normal 5 3 2 4 2 3" xfId="3227" xr:uid="{00000000-0005-0000-0000-0000450E0000}"/>
    <cellStyle name="Normal 5 3 2 4 3" xfId="1856" xr:uid="{00000000-0005-0000-0000-0000460E0000}"/>
    <cellStyle name="Normal 5 3 2 4 3 2" xfId="5221" xr:uid="{00000000-0005-0000-0000-0000470E0000}"/>
    <cellStyle name="Normal 5 3 2 4 4" xfId="3772" xr:uid="{00000000-0005-0000-0000-0000480E0000}"/>
    <cellStyle name="Normal 5 3 2 4 5" xfId="2559" xr:uid="{00000000-0005-0000-0000-0000490E0000}"/>
    <cellStyle name="Normal 5 3 2 5" xfId="690" xr:uid="{00000000-0005-0000-0000-00004A0E0000}"/>
    <cellStyle name="Normal 5 3 2 5 2" xfId="1363" xr:uid="{00000000-0005-0000-0000-00004B0E0000}"/>
    <cellStyle name="Normal 5 3 2 5 2 2" xfId="4728" xr:uid="{00000000-0005-0000-0000-00004C0E0000}"/>
    <cellStyle name="Normal 5 3 2 5 2 3" xfId="3228" xr:uid="{00000000-0005-0000-0000-00004D0E0000}"/>
    <cellStyle name="Normal 5 3 2 5 3" xfId="1857" xr:uid="{00000000-0005-0000-0000-00004E0E0000}"/>
    <cellStyle name="Normal 5 3 2 5 3 2" xfId="5222" xr:uid="{00000000-0005-0000-0000-00004F0E0000}"/>
    <cellStyle name="Normal 5 3 2 5 4" xfId="4058" xr:uid="{00000000-0005-0000-0000-0000500E0000}"/>
    <cellStyle name="Normal 5 3 2 5 5" xfId="2560" xr:uid="{00000000-0005-0000-0000-0000510E0000}"/>
    <cellStyle name="Normal 5 3 2 6" xfId="777" xr:uid="{00000000-0005-0000-0000-0000520E0000}"/>
    <cellStyle name="Normal 5 3 2 6 2" xfId="4142" xr:uid="{00000000-0005-0000-0000-0000530E0000}"/>
    <cellStyle name="Normal 5 3 2 6 3" xfId="2790" xr:uid="{00000000-0005-0000-0000-0000540E0000}"/>
    <cellStyle name="Normal 5 3 2 7" xfId="1858" xr:uid="{00000000-0005-0000-0000-0000550E0000}"/>
    <cellStyle name="Normal 5 3 2 7 2" xfId="5223" xr:uid="{00000000-0005-0000-0000-0000560E0000}"/>
    <cellStyle name="Normal 5 3 2 8" xfId="3472" xr:uid="{00000000-0005-0000-0000-0000570E0000}"/>
    <cellStyle name="Normal 5 3 2 9" xfId="2119" xr:uid="{00000000-0005-0000-0000-0000580E0000}"/>
    <cellStyle name="Normal 5 3 3" xfId="124" xr:uid="{00000000-0005-0000-0000-0000590E0000}"/>
    <cellStyle name="Normal 5 3 3 2" xfId="199" xr:uid="{00000000-0005-0000-0000-00005A0E0000}"/>
    <cellStyle name="Normal 5 3 3 2 2" xfId="349" xr:uid="{00000000-0005-0000-0000-00005B0E0000}"/>
    <cellStyle name="Normal 5 3 3 2 2 2" xfId="649" xr:uid="{00000000-0005-0000-0000-00005C0E0000}"/>
    <cellStyle name="Normal 5 3 3 2 2 2 2" xfId="1322" xr:uid="{00000000-0005-0000-0000-00005D0E0000}"/>
    <cellStyle name="Normal 5 3 3 2 2 2 2 2" xfId="4687" xr:uid="{00000000-0005-0000-0000-00005E0E0000}"/>
    <cellStyle name="Normal 5 3 3 2 2 2 2 3" xfId="3231" xr:uid="{00000000-0005-0000-0000-00005F0E0000}"/>
    <cellStyle name="Normal 5 3 3 2 2 2 3" xfId="1859" xr:uid="{00000000-0005-0000-0000-0000600E0000}"/>
    <cellStyle name="Normal 5 3 3 2 2 2 3 2" xfId="5224" xr:uid="{00000000-0005-0000-0000-0000610E0000}"/>
    <cellStyle name="Normal 5 3 3 2 2 2 4" xfId="4017" xr:uid="{00000000-0005-0000-0000-0000620E0000}"/>
    <cellStyle name="Normal 5 3 3 2 2 2 5" xfId="2563" xr:uid="{00000000-0005-0000-0000-0000630E0000}"/>
    <cellStyle name="Normal 5 3 3 2 2 3" xfId="1022" xr:uid="{00000000-0005-0000-0000-0000640E0000}"/>
    <cellStyle name="Normal 5 3 3 2 2 3 2" xfId="4387" xr:uid="{00000000-0005-0000-0000-0000650E0000}"/>
    <cellStyle name="Normal 5 3 3 2 2 3 3" xfId="3230" xr:uid="{00000000-0005-0000-0000-0000660E0000}"/>
    <cellStyle name="Normal 5 3 3 2 2 4" xfId="1860" xr:uid="{00000000-0005-0000-0000-0000670E0000}"/>
    <cellStyle name="Normal 5 3 3 2 2 4 2" xfId="5225" xr:uid="{00000000-0005-0000-0000-0000680E0000}"/>
    <cellStyle name="Normal 5 3 3 2 2 5" xfId="3717" xr:uid="{00000000-0005-0000-0000-0000690E0000}"/>
    <cellStyle name="Normal 5 3 3 2 2 6" xfId="2562" xr:uid="{00000000-0005-0000-0000-00006A0E0000}"/>
    <cellStyle name="Normal 5 3 3 2 3" xfId="499" xr:uid="{00000000-0005-0000-0000-00006B0E0000}"/>
    <cellStyle name="Normal 5 3 3 2 3 2" xfId="1172" xr:uid="{00000000-0005-0000-0000-00006C0E0000}"/>
    <cellStyle name="Normal 5 3 3 2 3 2 2" xfId="4537" xr:uid="{00000000-0005-0000-0000-00006D0E0000}"/>
    <cellStyle name="Normal 5 3 3 2 3 2 3" xfId="3232" xr:uid="{00000000-0005-0000-0000-00006E0E0000}"/>
    <cellStyle name="Normal 5 3 3 2 3 3" xfId="1861" xr:uid="{00000000-0005-0000-0000-00006F0E0000}"/>
    <cellStyle name="Normal 5 3 3 2 3 3 2" xfId="5226" xr:uid="{00000000-0005-0000-0000-0000700E0000}"/>
    <cellStyle name="Normal 5 3 3 2 3 4" xfId="3867" xr:uid="{00000000-0005-0000-0000-0000710E0000}"/>
    <cellStyle name="Normal 5 3 3 2 3 5" xfId="2564" xr:uid="{00000000-0005-0000-0000-0000720E0000}"/>
    <cellStyle name="Normal 5 3 3 2 4" xfId="872" xr:uid="{00000000-0005-0000-0000-0000730E0000}"/>
    <cellStyle name="Normal 5 3 3 2 4 2" xfId="4237" xr:uid="{00000000-0005-0000-0000-0000740E0000}"/>
    <cellStyle name="Normal 5 3 3 2 4 3" xfId="3229" xr:uid="{00000000-0005-0000-0000-0000750E0000}"/>
    <cellStyle name="Normal 5 3 3 2 5" xfId="1862" xr:uid="{00000000-0005-0000-0000-0000760E0000}"/>
    <cellStyle name="Normal 5 3 3 2 5 2" xfId="5227" xr:uid="{00000000-0005-0000-0000-0000770E0000}"/>
    <cellStyle name="Normal 5 3 3 2 6" xfId="3567" xr:uid="{00000000-0005-0000-0000-0000780E0000}"/>
    <cellStyle name="Normal 5 3 3 2 7" xfId="2561" xr:uid="{00000000-0005-0000-0000-0000790E0000}"/>
    <cellStyle name="Normal 5 3 3 3" xfId="274" xr:uid="{00000000-0005-0000-0000-00007A0E0000}"/>
    <cellStyle name="Normal 5 3 3 3 2" xfId="574" xr:uid="{00000000-0005-0000-0000-00007B0E0000}"/>
    <cellStyle name="Normal 5 3 3 3 2 2" xfId="1247" xr:uid="{00000000-0005-0000-0000-00007C0E0000}"/>
    <cellStyle name="Normal 5 3 3 3 2 2 2" xfId="4612" xr:uid="{00000000-0005-0000-0000-00007D0E0000}"/>
    <cellStyle name="Normal 5 3 3 3 2 2 3" xfId="3234" xr:uid="{00000000-0005-0000-0000-00007E0E0000}"/>
    <cellStyle name="Normal 5 3 3 3 2 3" xfId="1863" xr:uid="{00000000-0005-0000-0000-00007F0E0000}"/>
    <cellStyle name="Normal 5 3 3 3 2 3 2" xfId="5228" xr:uid="{00000000-0005-0000-0000-0000800E0000}"/>
    <cellStyle name="Normal 5 3 3 3 2 4" xfId="3942" xr:uid="{00000000-0005-0000-0000-0000810E0000}"/>
    <cellStyle name="Normal 5 3 3 3 2 5" xfId="2566" xr:uid="{00000000-0005-0000-0000-0000820E0000}"/>
    <cellStyle name="Normal 5 3 3 3 3" xfId="947" xr:uid="{00000000-0005-0000-0000-0000830E0000}"/>
    <cellStyle name="Normal 5 3 3 3 3 2" xfId="4312" xr:uid="{00000000-0005-0000-0000-0000840E0000}"/>
    <cellStyle name="Normal 5 3 3 3 3 3" xfId="3233" xr:uid="{00000000-0005-0000-0000-0000850E0000}"/>
    <cellStyle name="Normal 5 3 3 3 4" xfId="1864" xr:uid="{00000000-0005-0000-0000-0000860E0000}"/>
    <cellStyle name="Normal 5 3 3 3 4 2" xfId="5229" xr:uid="{00000000-0005-0000-0000-0000870E0000}"/>
    <cellStyle name="Normal 5 3 3 3 5" xfId="3642" xr:uid="{00000000-0005-0000-0000-0000880E0000}"/>
    <cellStyle name="Normal 5 3 3 3 6" xfId="2565" xr:uid="{00000000-0005-0000-0000-0000890E0000}"/>
    <cellStyle name="Normal 5 3 3 4" xfId="424" xr:uid="{00000000-0005-0000-0000-00008A0E0000}"/>
    <cellStyle name="Normal 5 3 3 4 2" xfId="1097" xr:uid="{00000000-0005-0000-0000-00008B0E0000}"/>
    <cellStyle name="Normal 5 3 3 4 2 2" xfId="4462" xr:uid="{00000000-0005-0000-0000-00008C0E0000}"/>
    <cellStyle name="Normal 5 3 3 4 2 3" xfId="3235" xr:uid="{00000000-0005-0000-0000-00008D0E0000}"/>
    <cellStyle name="Normal 5 3 3 4 3" xfId="1865" xr:uid="{00000000-0005-0000-0000-00008E0E0000}"/>
    <cellStyle name="Normal 5 3 3 4 3 2" xfId="5230" xr:uid="{00000000-0005-0000-0000-00008F0E0000}"/>
    <cellStyle name="Normal 5 3 3 4 4" xfId="3792" xr:uid="{00000000-0005-0000-0000-0000900E0000}"/>
    <cellStyle name="Normal 5 3 3 4 5" xfId="2567" xr:uid="{00000000-0005-0000-0000-0000910E0000}"/>
    <cellStyle name="Normal 5 3 3 5" xfId="710" xr:uid="{00000000-0005-0000-0000-0000920E0000}"/>
    <cellStyle name="Normal 5 3 3 5 2" xfId="1383" xr:uid="{00000000-0005-0000-0000-0000930E0000}"/>
    <cellStyle name="Normal 5 3 3 5 2 2" xfId="4748" xr:uid="{00000000-0005-0000-0000-0000940E0000}"/>
    <cellStyle name="Normal 5 3 3 5 2 3" xfId="3236" xr:uid="{00000000-0005-0000-0000-0000950E0000}"/>
    <cellStyle name="Normal 5 3 3 5 3" xfId="1866" xr:uid="{00000000-0005-0000-0000-0000960E0000}"/>
    <cellStyle name="Normal 5 3 3 5 3 2" xfId="5231" xr:uid="{00000000-0005-0000-0000-0000970E0000}"/>
    <cellStyle name="Normal 5 3 3 5 4" xfId="4078" xr:uid="{00000000-0005-0000-0000-0000980E0000}"/>
    <cellStyle name="Normal 5 3 3 5 5" xfId="2568" xr:uid="{00000000-0005-0000-0000-0000990E0000}"/>
    <cellStyle name="Normal 5 3 3 6" xfId="797" xr:uid="{00000000-0005-0000-0000-00009A0E0000}"/>
    <cellStyle name="Normal 5 3 3 6 2" xfId="4162" xr:uid="{00000000-0005-0000-0000-00009B0E0000}"/>
    <cellStyle name="Normal 5 3 3 6 3" xfId="2810" xr:uid="{00000000-0005-0000-0000-00009C0E0000}"/>
    <cellStyle name="Normal 5 3 3 7" xfId="1867" xr:uid="{00000000-0005-0000-0000-00009D0E0000}"/>
    <cellStyle name="Normal 5 3 3 7 2" xfId="5232" xr:uid="{00000000-0005-0000-0000-00009E0E0000}"/>
    <cellStyle name="Normal 5 3 3 8" xfId="3492" xr:uid="{00000000-0005-0000-0000-00009F0E0000}"/>
    <cellStyle name="Normal 5 3 3 9" xfId="2139" xr:uid="{00000000-0005-0000-0000-0000A00E0000}"/>
    <cellStyle name="Normal 5 3 4" xfId="128" xr:uid="{00000000-0005-0000-0000-0000A10E0000}"/>
    <cellStyle name="Normal 5 3 4 2" xfId="203" xr:uid="{00000000-0005-0000-0000-0000A20E0000}"/>
    <cellStyle name="Normal 5 3 4 2 2" xfId="353" xr:uid="{00000000-0005-0000-0000-0000A30E0000}"/>
    <cellStyle name="Normal 5 3 4 2 2 2" xfId="653" xr:uid="{00000000-0005-0000-0000-0000A40E0000}"/>
    <cellStyle name="Normal 5 3 4 2 2 2 2" xfId="1326" xr:uid="{00000000-0005-0000-0000-0000A50E0000}"/>
    <cellStyle name="Normal 5 3 4 2 2 2 2 2" xfId="4691" xr:uid="{00000000-0005-0000-0000-0000A60E0000}"/>
    <cellStyle name="Normal 5 3 4 2 2 2 2 3" xfId="3239" xr:uid="{00000000-0005-0000-0000-0000A70E0000}"/>
    <cellStyle name="Normal 5 3 4 2 2 2 3" xfId="1868" xr:uid="{00000000-0005-0000-0000-0000A80E0000}"/>
    <cellStyle name="Normal 5 3 4 2 2 2 3 2" xfId="5233" xr:uid="{00000000-0005-0000-0000-0000A90E0000}"/>
    <cellStyle name="Normal 5 3 4 2 2 2 4" xfId="4021" xr:uid="{00000000-0005-0000-0000-0000AA0E0000}"/>
    <cellStyle name="Normal 5 3 4 2 2 2 5" xfId="2571" xr:uid="{00000000-0005-0000-0000-0000AB0E0000}"/>
    <cellStyle name="Normal 5 3 4 2 2 3" xfId="1026" xr:uid="{00000000-0005-0000-0000-0000AC0E0000}"/>
    <cellStyle name="Normal 5 3 4 2 2 3 2" xfId="4391" xr:uid="{00000000-0005-0000-0000-0000AD0E0000}"/>
    <cellStyle name="Normal 5 3 4 2 2 3 3" xfId="3238" xr:uid="{00000000-0005-0000-0000-0000AE0E0000}"/>
    <cellStyle name="Normal 5 3 4 2 2 4" xfId="1869" xr:uid="{00000000-0005-0000-0000-0000AF0E0000}"/>
    <cellStyle name="Normal 5 3 4 2 2 4 2" xfId="5234" xr:uid="{00000000-0005-0000-0000-0000B00E0000}"/>
    <cellStyle name="Normal 5 3 4 2 2 5" xfId="3721" xr:uid="{00000000-0005-0000-0000-0000B10E0000}"/>
    <cellStyle name="Normal 5 3 4 2 2 6" xfId="2570" xr:uid="{00000000-0005-0000-0000-0000B20E0000}"/>
    <cellStyle name="Normal 5 3 4 2 3" xfId="503" xr:uid="{00000000-0005-0000-0000-0000B30E0000}"/>
    <cellStyle name="Normal 5 3 4 2 3 2" xfId="1176" xr:uid="{00000000-0005-0000-0000-0000B40E0000}"/>
    <cellStyle name="Normal 5 3 4 2 3 2 2" xfId="4541" xr:uid="{00000000-0005-0000-0000-0000B50E0000}"/>
    <cellStyle name="Normal 5 3 4 2 3 2 3" xfId="3240" xr:uid="{00000000-0005-0000-0000-0000B60E0000}"/>
    <cellStyle name="Normal 5 3 4 2 3 3" xfId="1870" xr:uid="{00000000-0005-0000-0000-0000B70E0000}"/>
    <cellStyle name="Normal 5 3 4 2 3 3 2" xfId="5235" xr:uid="{00000000-0005-0000-0000-0000B80E0000}"/>
    <cellStyle name="Normal 5 3 4 2 3 4" xfId="3871" xr:uid="{00000000-0005-0000-0000-0000B90E0000}"/>
    <cellStyle name="Normal 5 3 4 2 3 5" xfId="2572" xr:uid="{00000000-0005-0000-0000-0000BA0E0000}"/>
    <cellStyle name="Normal 5 3 4 2 4" xfId="876" xr:uid="{00000000-0005-0000-0000-0000BB0E0000}"/>
    <cellStyle name="Normal 5 3 4 2 4 2" xfId="4241" xr:uid="{00000000-0005-0000-0000-0000BC0E0000}"/>
    <cellStyle name="Normal 5 3 4 2 4 3" xfId="3237" xr:uid="{00000000-0005-0000-0000-0000BD0E0000}"/>
    <cellStyle name="Normal 5 3 4 2 5" xfId="1871" xr:uid="{00000000-0005-0000-0000-0000BE0E0000}"/>
    <cellStyle name="Normal 5 3 4 2 5 2" xfId="5236" xr:uid="{00000000-0005-0000-0000-0000BF0E0000}"/>
    <cellStyle name="Normal 5 3 4 2 6" xfId="3571" xr:uid="{00000000-0005-0000-0000-0000C00E0000}"/>
    <cellStyle name="Normal 5 3 4 2 7" xfId="2569" xr:uid="{00000000-0005-0000-0000-0000C10E0000}"/>
    <cellStyle name="Normal 5 3 4 3" xfId="278" xr:uid="{00000000-0005-0000-0000-0000C20E0000}"/>
    <cellStyle name="Normal 5 3 4 3 2" xfId="578" xr:uid="{00000000-0005-0000-0000-0000C30E0000}"/>
    <cellStyle name="Normal 5 3 4 3 2 2" xfId="1251" xr:uid="{00000000-0005-0000-0000-0000C40E0000}"/>
    <cellStyle name="Normal 5 3 4 3 2 2 2" xfId="4616" xr:uid="{00000000-0005-0000-0000-0000C50E0000}"/>
    <cellStyle name="Normal 5 3 4 3 2 2 3" xfId="3242" xr:uid="{00000000-0005-0000-0000-0000C60E0000}"/>
    <cellStyle name="Normal 5 3 4 3 2 3" xfId="1872" xr:uid="{00000000-0005-0000-0000-0000C70E0000}"/>
    <cellStyle name="Normal 5 3 4 3 2 3 2" xfId="5237" xr:uid="{00000000-0005-0000-0000-0000C80E0000}"/>
    <cellStyle name="Normal 5 3 4 3 2 4" xfId="3946" xr:uid="{00000000-0005-0000-0000-0000C90E0000}"/>
    <cellStyle name="Normal 5 3 4 3 2 5" xfId="2574" xr:uid="{00000000-0005-0000-0000-0000CA0E0000}"/>
    <cellStyle name="Normal 5 3 4 3 3" xfId="951" xr:uid="{00000000-0005-0000-0000-0000CB0E0000}"/>
    <cellStyle name="Normal 5 3 4 3 3 2" xfId="4316" xr:uid="{00000000-0005-0000-0000-0000CC0E0000}"/>
    <cellStyle name="Normal 5 3 4 3 3 3" xfId="3241" xr:uid="{00000000-0005-0000-0000-0000CD0E0000}"/>
    <cellStyle name="Normal 5 3 4 3 4" xfId="1873" xr:uid="{00000000-0005-0000-0000-0000CE0E0000}"/>
    <cellStyle name="Normal 5 3 4 3 4 2" xfId="5238" xr:uid="{00000000-0005-0000-0000-0000CF0E0000}"/>
    <cellStyle name="Normal 5 3 4 3 5" xfId="3646" xr:uid="{00000000-0005-0000-0000-0000D00E0000}"/>
    <cellStyle name="Normal 5 3 4 3 6" xfId="2573" xr:uid="{00000000-0005-0000-0000-0000D10E0000}"/>
    <cellStyle name="Normal 5 3 4 4" xfId="428" xr:uid="{00000000-0005-0000-0000-0000D20E0000}"/>
    <cellStyle name="Normal 5 3 4 4 2" xfId="1101" xr:uid="{00000000-0005-0000-0000-0000D30E0000}"/>
    <cellStyle name="Normal 5 3 4 4 2 2" xfId="4466" xr:uid="{00000000-0005-0000-0000-0000D40E0000}"/>
    <cellStyle name="Normal 5 3 4 4 2 3" xfId="3243" xr:uid="{00000000-0005-0000-0000-0000D50E0000}"/>
    <cellStyle name="Normal 5 3 4 4 3" xfId="1874" xr:uid="{00000000-0005-0000-0000-0000D60E0000}"/>
    <cellStyle name="Normal 5 3 4 4 3 2" xfId="5239" xr:uid="{00000000-0005-0000-0000-0000D70E0000}"/>
    <cellStyle name="Normal 5 3 4 4 4" xfId="3796" xr:uid="{00000000-0005-0000-0000-0000D80E0000}"/>
    <cellStyle name="Normal 5 3 4 4 5" xfId="2575" xr:uid="{00000000-0005-0000-0000-0000D90E0000}"/>
    <cellStyle name="Normal 5 3 4 5" xfId="714" xr:uid="{00000000-0005-0000-0000-0000DA0E0000}"/>
    <cellStyle name="Normal 5 3 4 5 2" xfId="1387" xr:uid="{00000000-0005-0000-0000-0000DB0E0000}"/>
    <cellStyle name="Normal 5 3 4 5 2 2" xfId="4752" xr:uid="{00000000-0005-0000-0000-0000DC0E0000}"/>
    <cellStyle name="Normal 5 3 4 5 2 3" xfId="3244" xr:uid="{00000000-0005-0000-0000-0000DD0E0000}"/>
    <cellStyle name="Normal 5 3 4 5 3" xfId="1875" xr:uid="{00000000-0005-0000-0000-0000DE0E0000}"/>
    <cellStyle name="Normal 5 3 4 5 3 2" xfId="5240" xr:uid="{00000000-0005-0000-0000-0000DF0E0000}"/>
    <cellStyle name="Normal 5 3 4 5 4" xfId="4082" xr:uid="{00000000-0005-0000-0000-0000E00E0000}"/>
    <cellStyle name="Normal 5 3 4 5 5" xfId="2576" xr:uid="{00000000-0005-0000-0000-0000E10E0000}"/>
    <cellStyle name="Normal 5 3 4 6" xfId="801" xr:uid="{00000000-0005-0000-0000-0000E20E0000}"/>
    <cellStyle name="Normal 5 3 4 6 2" xfId="4166" xr:uid="{00000000-0005-0000-0000-0000E30E0000}"/>
    <cellStyle name="Normal 5 3 4 6 3" xfId="2814" xr:uid="{00000000-0005-0000-0000-0000E40E0000}"/>
    <cellStyle name="Normal 5 3 4 7" xfId="1876" xr:uid="{00000000-0005-0000-0000-0000E50E0000}"/>
    <cellStyle name="Normal 5 3 4 7 2" xfId="5241" xr:uid="{00000000-0005-0000-0000-0000E60E0000}"/>
    <cellStyle name="Normal 5 3 4 8" xfId="3496" xr:uid="{00000000-0005-0000-0000-0000E70E0000}"/>
    <cellStyle name="Normal 5 3 4 9" xfId="2143" xr:uid="{00000000-0005-0000-0000-0000E80E0000}"/>
    <cellStyle name="Normal 5 3 5" xfId="131" xr:uid="{00000000-0005-0000-0000-0000E90E0000}"/>
    <cellStyle name="Normal 5 3 5 2" xfId="206" xr:uid="{00000000-0005-0000-0000-0000EA0E0000}"/>
    <cellStyle name="Normal 5 3 5 2 2" xfId="356" xr:uid="{00000000-0005-0000-0000-0000EB0E0000}"/>
    <cellStyle name="Normal 5 3 5 2 2 2" xfId="656" xr:uid="{00000000-0005-0000-0000-0000EC0E0000}"/>
    <cellStyle name="Normal 5 3 5 2 2 2 2" xfId="1329" xr:uid="{00000000-0005-0000-0000-0000ED0E0000}"/>
    <cellStyle name="Normal 5 3 5 2 2 2 2 2" xfId="4694" xr:uid="{00000000-0005-0000-0000-0000EE0E0000}"/>
    <cellStyle name="Normal 5 3 5 2 2 2 2 3" xfId="3247" xr:uid="{00000000-0005-0000-0000-0000EF0E0000}"/>
    <cellStyle name="Normal 5 3 5 2 2 2 3" xfId="1877" xr:uid="{00000000-0005-0000-0000-0000F00E0000}"/>
    <cellStyle name="Normal 5 3 5 2 2 2 3 2" xfId="5242" xr:uid="{00000000-0005-0000-0000-0000F10E0000}"/>
    <cellStyle name="Normal 5 3 5 2 2 2 4" xfId="4024" xr:uid="{00000000-0005-0000-0000-0000F20E0000}"/>
    <cellStyle name="Normal 5 3 5 2 2 2 5" xfId="2579" xr:uid="{00000000-0005-0000-0000-0000F30E0000}"/>
    <cellStyle name="Normal 5 3 5 2 2 3" xfId="1029" xr:uid="{00000000-0005-0000-0000-0000F40E0000}"/>
    <cellStyle name="Normal 5 3 5 2 2 3 2" xfId="4394" xr:uid="{00000000-0005-0000-0000-0000F50E0000}"/>
    <cellStyle name="Normal 5 3 5 2 2 3 3" xfId="3246" xr:uid="{00000000-0005-0000-0000-0000F60E0000}"/>
    <cellStyle name="Normal 5 3 5 2 2 4" xfId="1878" xr:uid="{00000000-0005-0000-0000-0000F70E0000}"/>
    <cellStyle name="Normal 5 3 5 2 2 4 2" xfId="5243" xr:uid="{00000000-0005-0000-0000-0000F80E0000}"/>
    <cellStyle name="Normal 5 3 5 2 2 5" xfId="3724" xr:uid="{00000000-0005-0000-0000-0000F90E0000}"/>
    <cellStyle name="Normal 5 3 5 2 2 6" xfId="2578" xr:uid="{00000000-0005-0000-0000-0000FA0E0000}"/>
    <cellStyle name="Normal 5 3 5 2 3" xfId="506" xr:uid="{00000000-0005-0000-0000-0000FB0E0000}"/>
    <cellStyle name="Normal 5 3 5 2 3 2" xfId="1179" xr:uid="{00000000-0005-0000-0000-0000FC0E0000}"/>
    <cellStyle name="Normal 5 3 5 2 3 2 2" xfId="4544" xr:uid="{00000000-0005-0000-0000-0000FD0E0000}"/>
    <cellStyle name="Normal 5 3 5 2 3 2 3" xfId="3248" xr:uid="{00000000-0005-0000-0000-0000FE0E0000}"/>
    <cellStyle name="Normal 5 3 5 2 3 3" xfId="1879" xr:uid="{00000000-0005-0000-0000-0000FF0E0000}"/>
    <cellStyle name="Normal 5 3 5 2 3 3 2" xfId="5244" xr:uid="{00000000-0005-0000-0000-0000000F0000}"/>
    <cellStyle name="Normal 5 3 5 2 3 4" xfId="3874" xr:uid="{00000000-0005-0000-0000-0000010F0000}"/>
    <cellStyle name="Normal 5 3 5 2 3 5" xfId="2580" xr:uid="{00000000-0005-0000-0000-0000020F0000}"/>
    <cellStyle name="Normal 5 3 5 2 4" xfId="879" xr:uid="{00000000-0005-0000-0000-0000030F0000}"/>
    <cellStyle name="Normal 5 3 5 2 4 2" xfId="4244" xr:uid="{00000000-0005-0000-0000-0000040F0000}"/>
    <cellStyle name="Normal 5 3 5 2 4 3" xfId="3245" xr:uid="{00000000-0005-0000-0000-0000050F0000}"/>
    <cellStyle name="Normal 5 3 5 2 5" xfId="1880" xr:uid="{00000000-0005-0000-0000-0000060F0000}"/>
    <cellStyle name="Normal 5 3 5 2 5 2" xfId="5245" xr:uid="{00000000-0005-0000-0000-0000070F0000}"/>
    <cellStyle name="Normal 5 3 5 2 6" xfId="3574" xr:uid="{00000000-0005-0000-0000-0000080F0000}"/>
    <cellStyle name="Normal 5 3 5 2 7" xfId="2577" xr:uid="{00000000-0005-0000-0000-0000090F0000}"/>
    <cellStyle name="Normal 5 3 5 3" xfId="281" xr:uid="{00000000-0005-0000-0000-00000A0F0000}"/>
    <cellStyle name="Normal 5 3 5 3 2" xfId="581" xr:uid="{00000000-0005-0000-0000-00000B0F0000}"/>
    <cellStyle name="Normal 5 3 5 3 2 2" xfId="1254" xr:uid="{00000000-0005-0000-0000-00000C0F0000}"/>
    <cellStyle name="Normal 5 3 5 3 2 2 2" xfId="4619" xr:uid="{00000000-0005-0000-0000-00000D0F0000}"/>
    <cellStyle name="Normal 5 3 5 3 2 2 3" xfId="3250" xr:uid="{00000000-0005-0000-0000-00000E0F0000}"/>
    <cellStyle name="Normal 5 3 5 3 2 3" xfId="1881" xr:uid="{00000000-0005-0000-0000-00000F0F0000}"/>
    <cellStyle name="Normal 5 3 5 3 2 3 2" xfId="5246" xr:uid="{00000000-0005-0000-0000-0000100F0000}"/>
    <cellStyle name="Normal 5 3 5 3 2 4" xfId="3949" xr:uid="{00000000-0005-0000-0000-0000110F0000}"/>
    <cellStyle name="Normal 5 3 5 3 2 5" xfId="2582" xr:uid="{00000000-0005-0000-0000-0000120F0000}"/>
    <cellStyle name="Normal 5 3 5 3 3" xfId="954" xr:uid="{00000000-0005-0000-0000-0000130F0000}"/>
    <cellStyle name="Normal 5 3 5 3 3 2" xfId="4319" xr:uid="{00000000-0005-0000-0000-0000140F0000}"/>
    <cellStyle name="Normal 5 3 5 3 3 3" xfId="3249" xr:uid="{00000000-0005-0000-0000-0000150F0000}"/>
    <cellStyle name="Normal 5 3 5 3 4" xfId="1882" xr:uid="{00000000-0005-0000-0000-0000160F0000}"/>
    <cellStyle name="Normal 5 3 5 3 4 2" xfId="5247" xr:uid="{00000000-0005-0000-0000-0000170F0000}"/>
    <cellStyle name="Normal 5 3 5 3 5" xfId="3649" xr:uid="{00000000-0005-0000-0000-0000180F0000}"/>
    <cellStyle name="Normal 5 3 5 3 6" xfId="2581" xr:uid="{00000000-0005-0000-0000-0000190F0000}"/>
    <cellStyle name="Normal 5 3 5 4" xfId="431" xr:uid="{00000000-0005-0000-0000-00001A0F0000}"/>
    <cellStyle name="Normal 5 3 5 4 2" xfId="1104" xr:uid="{00000000-0005-0000-0000-00001B0F0000}"/>
    <cellStyle name="Normal 5 3 5 4 2 2" xfId="4469" xr:uid="{00000000-0005-0000-0000-00001C0F0000}"/>
    <cellStyle name="Normal 5 3 5 4 2 3" xfId="3251" xr:uid="{00000000-0005-0000-0000-00001D0F0000}"/>
    <cellStyle name="Normal 5 3 5 4 3" xfId="1883" xr:uid="{00000000-0005-0000-0000-00001E0F0000}"/>
    <cellStyle name="Normal 5 3 5 4 3 2" xfId="5248" xr:uid="{00000000-0005-0000-0000-00001F0F0000}"/>
    <cellStyle name="Normal 5 3 5 4 4" xfId="3799" xr:uid="{00000000-0005-0000-0000-0000200F0000}"/>
    <cellStyle name="Normal 5 3 5 4 5" xfId="2583" xr:uid="{00000000-0005-0000-0000-0000210F0000}"/>
    <cellStyle name="Normal 5 3 5 5" xfId="717" xr:uid="{00000000-0005-0000-0000-0000220F0000}"/>
    <cellStyle name="Normal 5 3 5 5 2" xfId="1390" xr:uid="{00000000-0005-0000-0000-0000230F0000}"/>
    <cellStyle name="Normal 5 3 5 5 2 2" xfId="4755" xr:uid="{00000000-0005-0000-0000-0000240F0000}"/>
    <cellStyle name="Normal 5 3 5 5 2 3" xfId="3252" xr:uid="{00000000-0005-0000-0000-0000250F0000}"/>
    <cellStyle name="Normal 5 3 5 5 3" xfId="1884" xr:uid="{00000000-0005-0000-0000-0000260F0000}"/>
    <cellStyle name="Normal 5 3 5 5 3 2" xfId="5249" xr:uid="{00000000-0005-0000-0000-0000270F0000}"/>
    <cellStyle name="Normal 5 3 5 5 4" xfId="4085" xr:uid="{00000000-0005-0000-0000-0000280F0000}"/>
    <cellStyle name="Normal 5 3 5 5 5" xfId="2584" xr:uid="{00000000-0005-0000-0000-0000290F0000}"/>
    <cellStyle name="Normal 5 3 5 6" xfId="804" xr:uid="{00000000-0005-0000-0000-00002A0F0000}"/>
    <cellStyle name="Normal 5 3 5 6 2" xfId="4169" xr:uid="{00000000-0005-0000-0000-00002B0F0000}"/>
    <cellStyle name="Normal 5 3 5 6 3" xfId="2817" xr:uid="{00000000-0005-0000-0000-00002C0F0000}"/>
    <cellStyle name="Normal 5 3 5 7" xfId="1885" xr:uid="{00000000-0005-0000-0000-00002D0F0000}"/>
    <cellStyle name="Normal 5 3 5 7 2" xfId="5250" xr:uid="{00000000-0005-0000-0000-00002E0F0000}"/>
    <cellStyle name="Normal 5 3 5 8" xfId="3499" xr:uid="{00000000-0005-0000-0000-00002F0F0000}"/>
    <cellStyle name="Normal 5 3 5 9" xfId="2146" xr:uid="{00000000-0005-0000-0000-0000300F0000}"/>
    <cellStyle name="Normal 5 3 6" xfId="153" xr:uid="{00000000-0005-0000-0000-0000310F0000}"/>
    <cellStyle name="Normal 5 3 6 2" xfId="303" xr:uid="{00000000-0005-0000-0000-0000320F0000}"/>
    <cellStyle name="Normal 5 3 6 2 2" xfId="603" xr:uid="{00000000-0005-0000-0000-0000330F0000}"/>
    <cellStyle name="Normal 5 3 6 2 2 2" xfId="1276" xr:uid="{00000000-0005-0000-0000-0000340F0000}"/>
    <cellStyle name="Normal 5 3 6 2 2 2 2" xfId="4641" xr:uid="{00000000-0005-0000-0000-0000350F0000}"/>
    <cellStyle name="Normal 5 3 6 2 2 2 3" xfId="3255" xr:uid="{00000000-0005-0000-0000-0000360F0000}"/>
    <cellStyle name="Normal 5 3 6 2 2 3" xfId="1886" xr:uid="{00000000-0005-0000-0000-0000370F0000}"/>
    <cellStyle name="Normal 5 3 6 2 2 3 2" xfId="5251" xr:uid="{00000000-0005-0000-0000-0000380F0000}"/>
    <cellStyle name="Normal 5 3 6 2 2 4" xfId="3971" xr:uid="{00000000-0005-0000-0000-0000390F0000}"/>
    <cellStyle name="Normal 5 3 6 2 2 5" xfId="2587" xr:uid="{00000000-0005-0000-0000-00003A0F0000}"/>
    <cellStyle name="Normal 5 3 6 2 3" xfId="976" xr:uid="{00000000-0005-0000-0000-00003B0F0000}"/>
    <cellStyle name="Normal 5 3 6 2 3 2" xfId="4341" xr:uid="{00000000-0005-0000-0000-00003C0F0000}"/>
    <cellStyle name="Normal 5 3 6 2 3 3" xfId="3254" xr:uid="{00000000-0005-0000-0000-00003D0F0000}"/>
    <cellStyle name="Normal 5 3 6 2 4" xfId="1887" xr:uid="{00000000-0005-0000-0000-00003E0F0000}"/>
    <cellStyle name="Normal 5 3 6 2 4 2" xfId="5252" xr:uid="{00000000-0005-0000-0000-00003F0F0000}"/>
    <cellStyle name="Normal 5 3 6 2 5" xfId="3671" xr:uid="{00000000-0005-0000-0000-0000400F0000}"/>
    <cellStyle name="Normal 5 3 6 2 6" xfId="2586" xr:uid="{00000000-0005-0000-0000-0000410F0000}"/>
    <cellStyle name="Normal 5 3 6 3" xfId="453" xr:uid="{00000000-0005-0000-0000-0000420F0000}"/>
    <cellStyle name="Normal 5 3 6 3 2" xfId="1126" xr:uid="{00000000-0005-0000-0000-0000430F0000}"/>
    <cellStyle name="Normal 5 3 6 3 2 2" xfId="4491" xr:uid="{00000000-0005-0000-0000-0000440F0000}"/>
    <cellStyle name="Normal 5 3 6 3 2 3" xfId="3256" xr:uid="{00000000-0005-0000-0000-0000450F0000}"/>
    <cellStyle name="Normal 5 3 6 3 3" xfId="1888" xr:uid="{00000000-0005-0000-0000-0000460F0000}"/>
    <cellStyle name="Normal 5 3 6 3 3 2" xfId="5253" xr:uid="{00000000-0005-0000-0000-0000470F0000}"/>
    <cellStyle name="Normal 5 3 6 3 4" xfId="3821" xr:uid="{00000000-0005-0000-0000-0000480F0000}"/>
    <cellStyle name="Normal 5 3 6 3 5" xfId="2588" xr:uid="{00000000-0005-0000-0000-0000490F0000}"/>
    <cellStyle name="Normal 5 3 6 4" xfId="826" xr:uid="{00000000-0005-0000-0000-00004A0F0000}"/>
    <cellStyle name="Normal 5 3 6 4 2" xfId="4191" xr:uid="{00000000-0005-0000-0000-00004B0F0000}"/>
    <cellStyle name="Normal 5 3 6 4 3" xfId="3253" xr:uid="{00000000-0005-0000-0000-00004C0F0000}"/>
    <cellStyle name="Normal 5 3 6 5" xfId="1889" xr:uid="{00000000-0005-0000-0000-00004D0F0000}"/>
    <cellStyle name="Normal 5 3 6 5 2" xfId="5254" xr:uid="{00000000-0005-0000-0000-00004E0F0000}"/>
    <cellStyle name="Normal 5 3 6 6" xfId="3521" xr:uid="{00000000-0005-0000-0000-00004F0F0000}"/>
    <cellStyle name="Normal 5 3 6 7" xfId="2585" xr:uid="{00000000-0005-0000-0000-0000500F0000}"/>
    <cellStyle name="Normal 5 3 7" xfId="228" xr:uid="{00000000-0005-0000-0000-0000510F0000}"/>
    <cellStyle name="Normal 5 3 7 2" xfId="528" xr:uid="{00000000-0005-0000-0000-0000520F0000}"/>
    <cellStyle name="Normal 5 3 7 2 2" xfId="1201" xr:uid="{00000000-0005-0000-0000-0000530F0000}"/>
    <cellStyle name="Normal 5 3 7 2 2 2" xfId="4566" xr:uid="{00000000-0005-0000-0000-0000540F0000}"/>
    <cellStyle name="Normal 5 3 7 2 2 3" xfId="3258" xr:uid="{00000000-0005-0000-0000-0000550F0000}"/>
    <cellStyle name="Normal 5 3 7 2 3" xfId="1890" xr:uid="{00000000-0005-0000-0000-0000560F0000}"/>
    <cellStyle name="Normal 5 3 7 2 3 2" xfId="5255" xr:uid="{00000000-0005-0000-0000-0000570F0000}"/>
    <cellStyle name="Normal 5 3 7 2 4" xfId="3896" xr:uid="{00000000-0005-0000-0000-0000580F0000}"/>
    <cellStyle name="Normal 5 3 7 2 5" xfId="2590" xr:uid="{00000000-0005-0000-0000-0000590F0000}"/>
    <cellStyle name="Normal 5 3 7 3" xfId="901" xr:uid="{00000000-0005-0000-0000-00005A0F0000}"/>
    <cellStyle name="Normal 5 3 7 3 2" xfId="4266" xr:uid="{00000000-0005-0000-0000-00005B0F0000}"/>
    <cellStyle name="Normal 5 3 7 3 3" xfId="3257" xr:uid="{00000000-0005-0000-0000-00005C0F0000}"/>
    <cellStyle name="Normal 5 3 7 4" xfId="1891" xr:uid="{00000000-0005-0000-0000-00005D0F0000}"/>
    <cellStyle name="Normal 5 3 7 4 2" xfId="5256" xr:uid="{00000000-0005-0000-0000-00005E0F0000}"/>
    <cellStyle name="Normal 5 3 7 5" xfId="3596" xr:uid="{00000000-0005-0000-0000-00005F0F0000}"/>
    <cellStyle name="Normal 5 3 7 6" xfId="2589" xr:uid="{00000000-0005-0000-0000-0000600F0000}"/>
    <cellStyle name="Normal 5 3 8" xfId="378" xr:uid="{00000000-0005-0000-0000-0000610F0000}"/>
    <cellStyle name="Normal 5 3 8 2" xfId="1051" xr:uid="{00000000-0005-0000-0000-0000620F0000}"/>
    <cellStyle name="Normal 5 3 8 2 2" xfId="4416" xr:uid="{00000000-0005-0000-0000-0000630F0000}"/>
    <cellStyle name="Normal 5 3 8 2 3" xfId="3259" xr:uid="{00000000-0005-0000-0000-0000640F0000}"/>
    <cellStyle name="Normal 5 3 8 3" xfId="1892" xr:uid="{00000000-0005-0000-0000-0000650F0000}"/>
    <cellStyle name="Normal 5 3 8 3 2" xfId="5257" xr:uid="{00000000-0005-0000-0000-0000660F0000}"/>
    <cellStyle name="Normal 5 3 8 4" xfId="3746" xr:uid="{00000000-0005-0000-0000-0000670F0000}"/>
    <cellStyle name="Normal 5 3 8 5" xfId="2591" xr:uid="{00000000-0005-0000-0000-0000680F0000}"/>
    <cellStyle name="Normal 5 3 9" xfId="664" xr:uid="{00000000-0005-0000-0000-0000690F0000}"/>
    <cellStyle name="Normal 5 3 9 2" xfId="1337" xr:uid="{00000000-0005-0000-0000-00006A0F0000}"/>
    <cellStyle name="Normal 5 3 9 2 2" xfId="4702" xr:uid="{00000000-0005-0000-0000-00006B0F0000}"/>
    <cellStyle name="Normal 5 3 9 2 3" xfId="3260" xr:uid="{00000000-0005-0000-0000-00006C0F0000}"/>
    <cellStyle name="Normal 5 3 9 3" xfId="1893" xr:uid="{00000000-0005-0000-0000-00006D0F0000}"/>
    <cellStyle name="Normal 5 3 9 3 2" xfId="5258" xr:uid="{00000000-0005-0000-0000-00006E0F0000}"/>
    <cellStyle name="Normal 5 3 9 4" xfId="4032" xr:uid="{00000000-0005-0000-0000-00006F0F0000}"/>
    <cellStyle name="Normal 5 3 9 5" xfId="2592" xr:uid="{00000000-0005-0000-0000-0000700F0000}"/>
    <cellStyle name="Normal 5 4" xfId="86" xr:uid="{00000000-0005-0000-0000-0000710F0000}"/>
    <cellStyle name="Normal 5 4 10" xfId="2102" xr:uid="{00000000-0005-0000-0000-0000720F0000}"/>
    <cellStyle name="Normal 5 4 2" xfId="113" xr:uid="{00000000-0005-0000-0000-0000730F0000}"/>
    <cellStyle name="Normal 5 4 2 2" xfId="188" xr:uid="{00000000-0005-0000-0000-0000740F0000}"/>
    <cellStyle name="Normal 5 4 2 2 2" xfId="338" xr:uid="{00000000-0005-0000-0000-0000750F0000}"/>
    <cellStyle name="Normal 5 4 2 2 2 2" xfId="638" xr:uid="{00000000-0005-0000-0000-0000760F0000}"/>
    <cellStyle name="Normal 5 4 2 2 2 2 2" xfId="1311" xr:uid="{00000000-0005-0000-0000-0000770F0000}"/>
    <cellStyle name="Normal 5 4 2 2 2 2 2 2" xfId="4676" xr:uid="{00000000-0005-0000-0000-0000780F0000}"/>
    <cellStyle name="Normal 5 4 2 2 2 2 2 3" xfId="3263" xr:uid="{00000000-0005-0000-0000-0000790F0000}"/>
    <cellStyle name="Normal 5 4 2 2 2 2 3" xfId="1894" xr:uid="{00000000-0005-0000-0000-00007A0F0000}"/>
    <cellStyle name="Normal 5 4 2 2 2 2 3 2" xfId="5259" xr:uid="{00000000-0005-0000-0000-00007B0F0000}"/>
    <cellStyle name="Normal 5 4 2 2 2 2 4" xfId="4006" xr:uid="{00000000-0005-0000-0000-00007C0F0000}"/>
    <cellStyle name="Normal 5 4 2 2 2 2 5" xfId="2595" xr:uid="{00000000-0005-0000-0000-00007D0F0000}"/>
    <cellStyle name="Normal 5 4 2 2 2 3" xfId="1011" xr:uid="{00000000-0005-0000-0000-00007E0F0000}"/>
    <cellStyle name="Normal 5 4 2 2 2 3 2" xfId="4376" xr:uid="{00000000-0005-0000-0000-00007F0F0000}"/>
    <cellStyle name="Normal 5 4 2 2 2 3 3" xfId="3262" xr:uid="{00000000-0005-0000-0000-0000800F0000}"/>
    <cellStyle name="Normal 5 4 2 2 2 4" xfId="1895" xr:uid="{00000000-0005-0000-0000-0000810F0000}"/>
    <cellStyle name="Normal 5 4 2 2 2 4 2" xfId="5260" xr:uid="{00000000-0005-0000-0000-0000820F0000}"/>
    <cellStyle name="Normal 5 4 2 2 2 5" xfId="3706" xr:uid="{00000000-0005-0000-0000-0000830F0000}"/>
    <cellStyle name="Normal 5 4 2 2 2 6" xfId="2594" xr:uid="{00000000-0005-0000-0000-0000840F0000}"/>
    <cellStyle name="Normal 5 4 2 2 3" xfId="488" xr:uid="{00000000-0005-0000-0000-0000850F0000}"/>
    <cellStyle name="Normal 5 4 2 2 3 2" xfId="1161" xr:uid="{00000000-0005-0000-0000-0000860F0000}"/>
    <cellStyle name="Normal 5 4 2 2 3 2 2" xfId="4526" xr:uid="{00000000-0005-0000-0000-0000870F0000}"/>
    <cellStyle name="Normal 5 4 2 2 3 2 3" xfId="3264" xr:uid="{00000000-0005-0000-0000-0000880F0000}"/>
    <cellStyle name="Normal 5 4 2 2 3 3" xfId="1896" xr:uid="{00000000-0005-0000-0000-0000890F0000}"/>
    <cellStyle name="Normal 5 4 2 2 3 3 2" xfId="5261" xr:uid="{00000000-0005-0000-0000-00008A0F0000}"/>
    <cellStyle name="Normal 5 4 2 2 3 4" xfId="3856" xr:uid="{00000000-0005-0000-0000-00008B0F0000}"/>
    <cellStyle name="Normal 5 4 2 2 3 5" xfId="2596" xr:uid="{00000000-0005-0000-0000-00008C0F0000}"/>
    <cellStyle name="Normal 5 4 2 2 4" xfId="861" xr:uid="{00000000-0005-0000-0000-00008D0F0000}"/>
    <cellStyle name="Normal 5 4 2 2 4 2" xfId="4226" xr:uid="{00000000-0005-0000-0000-00008E0F0000}"/>
    <cellStyle name="Normal 5 4 2 2 4 3" xfId="3261" xr:uid="{00000000-0005-0000-0000-00008F0F0000}"/>
    <cellStyle name="Normal 5 4 2 2 5" xfId="1897" xr:uid="{00000000-0005-0000-0000-0000900F0000}"/>
    <cellStyle name="Normal 5 4 2 2 5 2" xfId="5262" xr:uid="{00000000-0005-0000-0000-0000910F0000}"/>
    <cellStyle name="Normal 5 4 2 2 6" xfId="3556" xr:uid="{00000000-0005-0000-0000-0000920F0000}"/>
    <cellStyle name="Normal 5 4 2 2 7" xfId="2593" xr:uid="{00000000-0005-0000-0000-0000930F0000}"/>
    <cellStyle name="Normal 5 4 2 3" xfId="263" xr:uid="{00000000-0005-0000-0000-0000940F0000}"/>
    <cellStyle name="Normal 5 4 2 3 2" xfId="563" xr:uid="{00000000-0005-0000-0000-0000950F0000}"/>
    <cellStyle name="Normal 5 4 2 3 2 2" xfId="1236" xr:uid="{00000000-0005-0000-0000-0000960F0000}"/>
    <cellStyle name="Normal 5 4 2 3 2 2 2" xfId="4601" xr:uid="{00000000-0005-0000-0000-0000970F0000}"/>
    <cellStyle name="Normal 5 4 2 3 2 2 3" xfId="3266" xr:uid="{00000000-0005-0000-0000-0000980F0000}"/>
    <cellStyle name="Normal 5 4 2 3 2 3" xfId="1898" xr:uid="{00000000-0005-0000-0000-0000990F0000}"/>
    <cellStyle name="Normal 5 4 2 3 2 3 2" xfId="5263" xr:uid="{00000000-0005-0000-0000-00009A0F0000}"/>
    <cellStyle name="Normal 5 4 2 3 2 4" xfId="3931" xr:uid="{00000000-0005-0000-0000-00009B0F0000}"/>
    <cellStyle name="Normal 5 4 2 3 2 5" xfId="2598" xr:uid="{00000000-0005-0000-0000-00009C0F0000}"/>
    <cellStyle name="Normal 5 4 2 3 3" xfId="936" xr:uid="{00000000-0005-0000-0000-00009D0F0000}"/>
    <cellStyle name="Normal 5 4 2 3 3 2" xfId="4301" xr:uid="{00000000-0005-0000-0000-00009E0F0000}"/>
    <cellStyle name="Normal 5 4 2 3 3 3" xfId="3265" xr:uid="{00000000-0005-0000-0000-00009F0F0000}"/>
    <cellStyle name="Normal 5 4 2 3 4" xfId="1899" xr:uid="{00000000-0005-0000-0000-0000A00F0000}"/>
    <cellStyle name="Normal 5 4 2 3 4 2" xfId="5264" xr:uid="{00000000-0005-0000-0000-0000A10F0000}"/>
    <cellStyle name="Normal 5 4 2 3 5" xfId="3631" xr:uid="{00000000-0005-0000-0000-0000A20F0000}"/>
    <cellStyle name="Normal 5 4 2 3 6" xfId="2597" xr:uid="{00000000-0005-0000-0000-0000A30F0000}"/>
    <cellStyle name="Normal 5 4 2 4" xfId="413" xr:uid="{00000000-0005-0000-0000-0000A40F0000}"/>
    <cellStyle name="Normal 5 4 2 4 2" xfId="1086" xr:uid="{00000000-0005-0000-0000-0000A50F0000}"/>
    <cellStyle name="Normal 5 4 2 4 2 2" xfId="4451" xr:uid="{00000000-0005-0000-0000-0000A60F0000}"/>
    <cellStyle name="Normal 5 4 2 4 2 3" xfId="3267" xr:uid="{00000000-0005-0000-0000-0000A70F0000}"/>
    <cellStyle name="Normal 5 4 2 4 3" xfId="1900" xr:uid="{00000000-0005-0000-0000-0000A80F0000}"/>
    <cellStyle name="Normal 5 4 2 4 3 2" xfId="5265" xr:uid="{00000000-0005-0000-0000-0000A90F0000}"/>
    <cellStyle name="Normal 5 4 2 4 4" xfId="3781" xr:uid="{00000000-0005-0000-0000-0000AA0F0000}"/>
    <cellStyle name="Normal 5 4 2 4 5" xfId="2599" xr:uid="{00000000-0005-0000-0000-0000AB0F0000}"/>
    <cellStyle name="Normal 5 4 2 5" xfId="699" xr:uid="{00000000-0005-0000-0000-0000AC0F0000}"/>
    <cellStyle name="Normal 5 4 2 5 2" xfId="1372" xr:uid="{00000000-0005-0000-0000-0000AD0F0000}"/>
    <cellStyle name="Normal 5 4 2 5 2 2" xfId="4737" xr:uid="{00000000-0005-0000-0000-0000AE0F0000}"/>
    <cellStyle name="Normal 5 4 2 5 2 3" xfId="3268" xr:uid="{00000000-0005-0000-0000-0000AF0F0000}"/>
    <cellStyle name="Normal 5 4 2 5 3" xfId="1901" xr:uid="{00000000-0005-0000-0000-0000B00F0000}"/>
    <cellStyle name="Normal 5 4 2 5 3 2" xfId="5266" xr:uid="{00000000-0005-0000-0000-0000B10F0000}"/>
    <cellStyle name="Normal 5 4 2 5 4" xfId="4067" xr:uid="{00000000-0005-0000-0000-0000B20F0000}"/>
    <cellStyle name="Normal 5 4 2 5 5" xfId="2600" xr:uid="{00000000-0005-0000-0000-0000B30F0000}"/>
    <cellStyle name="Normal 5 4 2 6" xfId="786" xr:uid="{00000000-0005-0000-0000-0000B40F0000}"/>
    <cellStyle name="Normal 5 4 2 6 2" xfId="4151" xr:uid="{00000000-0005-0000-0000-0000B50F0000}"/>
    <cellStyle name="Normal 5 4 2 6 3" xfId="2799" xr:uid="{00000000-0005-0000-0000-0000B60F0000}"/>
    <cellStyle name="Normal 5 4 2 7" xfId="1902" xr:uid="{00000000-0005-0000-0000-0000B70F0000}"/>
    <cellStyle name="Normal 5 4 2 7 2" xfId="5267" xr:uid="{00000000-0005-0000-0000-0000B80F0000}"/>
    <cellStyle name="Normal 5 4 2 8" xfId="3481" xr:uid="{00000000-0005-0000-0000-0000B90F0000}"/>
    <cellStyle name="Normal 5 4 2 9" xfId="2128" xr:uid="{00000000-0005-0000-0000-0000BA0F0000}"/>
    <cellStyle name="Normal 5 4 3" xfId="162" xr:uid="{00000000-0005-0000-0000-0000BB0F0000}"/>
    <cellStyle name="Normal 5 4 3 2" xfId="312" xr:uid="{00000000-0005-0000-0000-0000BC0F0000}"/>
    <cellStyle name="Normal 5 4 3 2 2" xfId="612" xr:uid="{00000000-0005-0000-0000-0000BD0F0000}"/>
    <cellStyle name="Normal 5 4 3 2 2 2" xfId="1285" xr:uid="{00000000-0005-0000-0000-0000BE0F0000}"/>
    <cellStyle name="Normal 5 4 3 2 2 2 2" xfId="4650" xr:uid="{00000000-0005-0000-0000-0000BF0F0000}"/>
    <cellStyle name="Normal 5 4 3 2 2 2 3" xfId="3271" xr:uid="{00000000-0005-0000-0000-0000C00F0000}"/>
    <cellStyle name="Normal 5 4 3 2 2 3" xfId="1903" xr:uid="{00000000-0005-0000-0000-0000C10F0000}"/>
    <cellStyle name="Normal 5 4 3 2 2 3 2" xfId="5268" xr:uid="{00000000-0005-0000-0000-0000C20F0000}"/>
    <cellStyle name="Normal 5 4 3 2 2 4" xfId="3980" xr:uid="{00000000-0005-0000-0000-0000C30F0000}"/>
    <cellStyle name="Normal 5 4 3 2 2 5" xfId="2603" xr:uid="{00000000-0005-0000-0000-0000C40F0000}"/>
    <cellStyle name="Normal 5 4 3 2 3" xfId="985" xr:uid="{00000000-0005-0000-0000-0000C50F0000}"/>
    <cellStyle name="Normal 5 4 3 2 3 2" xfId="4350" xr:uid="{00000000-0005-0000-0000-0000C60F0000}"/>
    <cellStyle name="Normal 5 4 3 2 3 3" xfId="3270" xr:uid="{00000000-0005-0000-0000-0000C70F0000}"/>
    <cellStyle name="Normal 5 4 3 2 4" xfId="1904" xr:uid="{00000000-0005-0000-0000-0000C80F0000}"/>
    <cellStyle name="Normal 5 4 3 2 4 2" xfId="5269" xr:uid="{00000000-0005-0000-0000-0000C90F0000}"/>
    <cellStyle name="Normal 5 4 3 2 5" xfId="3680" xr:uid="{00000000-0005-0000-0000-0000CA0F0000}"/>
    <cellStyle name="Normal 5 4 3 2 6" xfId="2602" xr:uid="{00000000-0005-0000-0000-0000CB0F0000}"/>
    <cellStyle name="Normal 5 4 3 3" xfId="462" xr:uid="{00000000-0005-0000-0000-0000CC0F0000}"/>
    <cellStyle name="Normal 5 4 3 3 2" xfId="1135" xr:uid="{00000000-0005-0000-0000-0000CD0F0000}"/>
    <cellStyle name="Normal 5 4 3 3 2 2" xfId="4500" xr:uid="{00000000-0005-0000-0000-0000CE0F0000}"/>
    <cellStyle name="Normal 5 4 3 3 2 3" xfId="3272" xr:uid="{00000000-0005-0000-0000-0000CF0F0000}"/>
    <cellStyle name="Normal 5 4 3 3 3" xfId="1905" xr:uid="{00000000-0005-0000-0000-0000D00F0000}"/>
    <cellStyle name="Normal 5 4 3 3 3 2" xfId="5270" xr:uid="{00000000-0005-0000-0000-0000D10F0000}"/>
    <cellStyle name="Normal 5 4 3 3 4" xfId="3830" xr:uid="{00000000-0005-0000-0000-0000D20F0000}"/>
    <cellStyle name="Normal 5 4 3 3 5" xfId="2604" xr:uid="{00000000-0005-0000-0000-0000D30F0000}"/>
    <cellStyle name="Normal 5 4 3 4" xfId="835" xr:uid="{00000000-0005-0000-0000-0000D40F0000}"/>
    <cellStyle name="Normal 5 4 3 4 2" xfId="4200" xr:uid="{00000000-0005-0000-0000-0000D50F0000}"/>
    <cellStyle name="Normal 5 4 3 4 3" xfId="3269" xr:uid="{00000000-0005-0000-0000-0000D60F0000}"/>
    <cellStyle name="Normal 5 4 3 5" xfId="1906" xr:uid="{00000000-0005-0000-0000-0000D70F0000}"/>
    <cellStyle name="Normal 5 4 3 5 2" xfId="5271" xr:uid="{00000000-0005-0000-0000-0000D80F0000}"/>
    <cellStyle name="Normal 5 4 3 6" xfId="3530" xr:uid="{00000000-0005-0000-0000-0000D90F0000}"/>
    <cellStyle name="Normal 5 4 3 7" xfId="2601" xr:uid="{00000000-0005-0000-0000-0000DA0F0000}"/>
    <cellStyle name="Normal 5 4 4" xfId="237" xr:uid="{00000000-0005-0000-0000-0000DB0F0000}"/>
    <cellStyle name="Normal 5 4 4 2" xfId="537" xr:uid="{00000000-0005-0000-0000-0000DC0F0000}"/>
    <cellStyle name="Normal 5 4 4 2 2" xfId="1210" xr:uid="{00000000-0005-0000-0000-0000DD0F0000}"/>
    <cellStyle name="Normal 5 4 4 2 2 2" xfId="4575" xr:uid="{00000000-0005-0000-0000-0000DE0F0000}"/>
    <cellStyle name="Normal 5 4 4 2 2 3" xfId="3274" xr:uid="{00000000-0005-0000-0000-0000DF0F0000}"/>
    <cellStyle name="Normal 5 4 4 2 3" xfId="1907" xr:uid="{00000000-0005-0000-0000-0000E00F0000}"/>
    <cellStyle name="Normal 5 4 4 2 3 2" xfId="5272" xr:uid="{00000000-0005-0000-0000-0000E10F0000}"/>
    <cellStyle name="Normal 5 4 4 2 4" xfId="3905" xr:uid="{00000000-0005-0000-0000-0000E20F0000}"/>
    <cellStyle name="Normal 5 4 4 2 5" xfId="2606" xr:uid="{00000000-0005-0000-0000-0000E30F0000}"/>
    <cellStyle name="Normal 5 4 4 3" xfId="910" xr:uid="{00000000-0005-0000-0000-0000E40F0000}"/>
    <cellStyle name="Normal 5 4 4 3 2" xfId="4275" xr:uid="{00000000-0005-0000-0000-0000E50F0000}"/>
    <cellStyle name="Normal 5 4 4 3 3" xfId="3273" xr:uid="{00000000-0005-0000-0000-0000E60F0000}"/>
    <cellStyle name="Normal 5 4 4 4" xfId="1908" xr:uid="{00000000-0005-0000-0000-0000E70F0000}"/>
    <cellStyle name="Normal 5 4 4 4 2" xfId="5273" xr:uid="{00000000-0005-0000-0000-0000E80F0000}"/>
    <cellStyle name="Normal 5 4 4 5" xfId="3605" xr:uid="{00000000-0005-0000-0000-0000E90F0000}"/>
    <cellStyle name="Normal 5 4 4 6" xfId="2605" xr:uid="{00000000-0005-0000-0000-0000EA0F0000}"/>
    <cellStyle name="Normal 5 4 5" xfId="387" xr:uid="{00000000-0005-0000-0000-0000EB0F0000}"/>
    <cellStyle name="Normal 5 4 5 2" xfId="1060" xr:uid="{00000000-0005-0000-0000-0000EC0F0000}"/>
    <cellStyle name="Normal 5 4 5 2 2" xfId="4425" xr:uid="{00000000-0005-0000-0000-0000ED0F0000}"/>
    <cellStyle name="Normal 5 4 5 2 3" xfId="3275" xr:uid="{00000000-0005-0000-0000-0000EE0F0000}"/>
    <cellStyle name="Normal 5 4 5 3" xfId="1909" xr:uid="{00000000-0005-0000-0000-0000EF0F0000}"/>
    <cellStyle name="Normal 5 4 5 3 2" xfId="5274" xr:uid="{00000000-0005-0000-0000-0000F00F0000}"/>
    <cellStyle name="Normal 5 4 5 4" xfId="3755" xr:uid="{00000000-0005-0000-0000-0000F10F0000}"/>
    <cellStyle name="Normal 5 4 5 5" xfId="2607" xr:uid="{00000000-0005-0000-0000-0000F20F0000}"/>
    <cellStyle name="Normal 5 4 6" xfId="673" xr:uid="{00000000-0005-0000-0000-0000F30F0000}"/>
    <cellStyle name="Normal 5 4 6 2" xfId="1346" xr:uid="{00000000-0005-0000-0000-0000F40F0000}"/>
    <cellStyle name="Normal 5 4 6 2 2" xfId="4711" xr:uid="{00000000-0005-0000-0000-0000F50F0000}"/>
    <cellStyle name="Normal 5 4 6 2 3" xfId="3276" xr:uid="{00000000-0005-0000-0000-0000F60F0000}"/>
    <cellStyle name="Normal 5 4 6 3" xfId="1910" xr:uid="{00000000-0005-0000-0000-0000F70F0000}"/>
    <cellStyle name="Normal 5 4 6 3 2" xfId="5275" xr:uid="{00000000-0005-0000-0000-0000F80F0000}"/>
    <cellStyle name="Normal 5 4 6 4" xfId="4041" xr:uid="{00000000-0005-0000-0000-0000F90F0000}"/>
    <cellStyle name="Normal 5 4 6 5" xfId="2608" xr:uid="{00000000-0005-0000-0000-0000FA0F0000}"/>
    <cellStyle name="Normal 5 4 7" xfId="760" xr:uid="{00000000-0005-0000-0000-0000FB0F0000}"/>
    <cellStyle name="Normal 5 4 7 2" xfId="4125" xr:uid="{00000000-0005-0000-0000-0000FC0F0000}"/>
    <cellStyle name="Normal 5 4 7 3" xfId="2773" xr:uid="{00000000-0005-0000-0000-0000FD0F0000}"/>
    <cellStyle name="Normal 5 4 8" xfId="1911" xr:uid="{00000000-0005-0000-0000-0000FE0F0000}"/>
    <cellStyle name="Normal 5 4 8 2" xfId="5276" xr:uid="{00000000-0005-0000-0000-0000FF0F0000}"/>
    <cellStyle name="Normal 5 4 9" xfId="3455" xr:uid="{00000000-0005-0000-0000-000000100000}"/>
    <cellStyle name="Normal 5 5" xfId="87" xr:uid="{00000000-0005-0000-0000-000001100000}"/>
    <cellStyle name="Normal 5 5 10" xfId="761" xr:uid="{00000000-0005-0000-0000-000002100000}"/>
    <cellStyle name="Normal 5 5 10 2" xfId="4126" xr:uid="{00000000-0005-0000-0000-000003100000}"/>
    <cellStyle name="Normal 5 5 10 3" xfId="2774" xr:uid="{00000000-0005-0000-0000-000004100000}"/>
    <cellStyle name="Normal 5 5 11" xfId="1912" xr:uid="{00000000-0005-0000-0000-000005100000}"/>
    <cellStyle name="Normal 5 5 11 2" xfId="5277" xr:uid="{00000000-0005-0000-0000-000006100000}"/>
    <cellStyle name="Normal 5 5 12" xfId="3456" xr:uid="{00000000-0005-0000-0000-000007100000}"/>
    <cellStyle name="Normal 5 5 13" xfId="2103" xr:uid="{00000000-0005-0000-0000-000008100000}"/>
    <cellStyle name="Normal 5 5 2" xfId="114" xr:uid="{00000000-0005-0000-0000-000009100000}"/>
    <cellStyle name="Normal 5 5 2 2" xfId="189" xr:uid="{00000000-0005-0000-0000-00000A100000}"/>
    <cellStyle name="Normal 5 5 2 2 2" xfId="339" xr:uid="{00000000-0005-0000-0000-00000B100000}"/>
    <cellStyle name="Normal 5 5 2 2 2 2" xfId="639" xr:uid="{00000000-0005-0000-0000-00000C100000}"/>
    <cellStyle name="Normal 5 5 2 2 2 2 2" xfId="1312" xr:uid="{00000000-0005-0000-0000-00000D100000}"/>
    <cellStyle name="Normal 5 5 2 2 2 2 2 2" xfId="4677" xr:uid="{00000000-0005-0000-0000-00000E100000}"/>
    <cellStyle name="Normal 5 5 2 2 2 2 2 3" xfId="3279" xr:uid="{00000000-0005-0000-0000-00000F100000}"/>
    <cellStyle name="Normal 5 5 2 2 2 2 3" xfId="1913" xr:uid="{00000000-0005-0000-0000-000010100000}"/>
    <cellStyle name="Normal 5 5 2 2 2 2 3 2" xfId="5278" xr:uid="{00000000-0005-0000-0000-000011100000}"/>
    <cellStyle name="Normal 5 5 2 2 2 2 4" xfId="4007" xr:uid="{00000000-0005-0000-0000-000012100000}"/>
    <cellStyle name="Normal 5 5 2 2 2 2 5" xfId="2611" xr:uid="{00000000-0005-0000-0000-000013100000}"/>
    <cellStyle name="Normal 5 5 2 2 2 3" xfId="1012" xr:uid="{00000000-0005-0000-0000-000014100000}"/>
    <cellStyle name="Normal 5 5 2 2 2 3 2" xfId="4377" xr:uid="{00000000-0005-0000-0000-000015100000}"/>
    <cellStyle name="Normal 5 5 2 2 2 3 3" xfId="3278" xr:uid="{00000000-0005-0000-0000-000016100000}"/>
    <cellStyle name="Normal 5 5 2 2 2 4" xfId="1914" xr:uid="{00000000-0005-0000-0000-000017100000}"/>
    <cellStyle name="Normal 5 5 2 2 2 4 2" xfId="5279" xr:uid="{00000000-0005-0000-0000-000018100000}"/>
    <cellStyle name="Normal 5 5 2 2 2 5" xfId="3707" xr:uid="{00000000-0005-0000-0000-000019100000}"/>
    <cellStyle name="Normal 5 5 2 2 2 6" xfId="2610" xr:uid="{00000000-0005-0000-0000-00001A100000}"/>
    <cellStyle name="Normal 5 5 2 2 3" xfId="489" xr:uid="{00000000-0005-0000-0000-00001B100000}"/>
    <cellStyle name="Normal 5 5 2 2 3 2" xfId="1162" xr:uid="{00000000-0005-0000-0000-00001C100000}"/>
    <cellStyle name="Normal 5 5 2 2 3 2 2" xfId="4527" xr:uid="{00000000-0005-0000-0000-00001D100000}"/>
    <cellStyle name="Normal 5 5 2 2 3 2 3" xfId="3280" xr:uid="{00000000-0005-0000-0000-00001E100000}"/>
    <cellStyle name="Normal 5 5 2 2 3 3" xfId="1915" xr:uid="{00000000-0005-0000-0000-00001F100000}"/>
    <cellStyle name="Normal 5 5 2 2 3 3 2" xfId="5280" xr:uid="{00000000-0005-0000-0000-000020100000}"/>
    <cellStyle name="Normal 5 5 2 2 3 4" xfId="3857" xr:uid="{00000000-0005-0000-0000-000021100000}"/>
    <cellStyle name="Normal 5 5 2 2 3 5" xfId="2612" xr:uid="{00000000-0005-0000-0000-000022100000}"/>
    <cellStyle name="Normal 5 5 2 2 4" xfId="862" xr:uid="{00000000-0005-0000-0000-000023100000}"/>
    <cellStyle name="Normal 5 5 2 2 4 2" xfId="4227" xr:uid="{00000000-0005-0000-0000-000024100000}"/>
    <cellStyle name="Normal 5 5 2 2 4 3" xfId="3277" xr:uid="{00000000-0005-0000-0000-000025100000}"/>
    <cellStyle name="Normal 5 5 2 2 5" xfId="1916" xr:uid="{00000000-0005-0000-0000-000026100000}"/>
    <cellStyle name="Normal 5 5 2 2 5 2" xfId="5281" xr:uid="{00000000-0005-0000-0000-000027100000}"/>
    <cellStyle name="Normal 5 5 2 2 6" xfId="3557" xr:uid="{00000000-0005-0000-0000-000028100000}"/>
    <cellStyle name="Normal 5 5 2 2 7" xfId="2609" xr:uid="{00000000-0005-0000-0000-000029100000}"/>
    <cellStyle name="Normal 5 5 2 3" xfId="264" xr:uid="{00000000-0005-0000-0000-00002A100000}"/>
    <cellStyle name="Normal 5 5 2 3 2" xfId="564" xr:uid="{00000000-0005-0000-0000-00002B100000}"/>
    <cellStyle name="Normal 5 5 2 3 2 2" xfId="1237" xr:uid="{00000000-0005-0000-0000-00002C100000}"/>
    <cellStyle name="Normal 5 5 2 3 2 2 2" xfId="4602" xr:uid="{00000000-0005-0000-0000-00002D100000}"/>
    <cellStyle name="Normal 5 5 2 3 2 2 3" xfId="3282" xr:uid="{00000000-0005-0000-0000-00002E100000}"/>
    <cellStyle name="Normal 5 5 2 3 2 3" xfId="1917" xr:uid="{00000000-0005-0000-0000-00002F100000}"/>
    <cellStyle name="Normal 5 5 2 3 2 3 2" xfId="5282" xr:uid="{00000000-0005-0000-0000-000030100000}"/>
    <cellStyle name="Normal 5 5 2 3 2 4" xfId="3932" xr:uid="{00000000-0005-0000-0000-000031100000}"/>
    <cellStyle name="Normal 5 5 2 3 2 5" xfId="2614" xr:uid="{00000000-0005-0000-0000-000032100000}"/>
    <cellStyle name="Normal 5 5 2 3 3" xfId="937" xr:uid="{00000000-0005-0000-0000-000033100000}"/>
    <cellStyle name="Normal 5 5 2 3 3 2" xfId="4302" xr:uid="{00000000-0005-0000-0000-000034100000}"/>
    <cellStyle name="Normal 5 5 2 3 3 3" xfId="3281" xr:uid="{00000000-0005-0000-0000-000035100000}"/>
    <cellStyle name="Normal 5 5 2 3 4" xfId="1918" xr:uid="{00000000-0005-0000-0000-000036100000}"/>
    <cellStyle name="Normal 5 5 2 3 4 2" xfId="5283" xr:uid="{00000000-0005-0000-0000-000037100000}"/>
    <cellStyle name="Normal 5 5 2 3 5" xfId="3632" xr:uid="{00000000-0005-0000-0000-000038100000}"/>
    <cellStyle name="Normal 5 5 2 3 6" xfId="2613" xr:uid="{00000000-0005-0000-0000-000039100000}"/>
    <cellStyle name="Normal 5 5 2 4" xfId="414" xr:uid="{00000000-0005-0000-0000-00003A100000}"/>
    <cellStyle name="Normal 5 5 2 4 2" xfId="1087" xr:uid="{00000000-0005-0000-0000-00003B100000}"/>
    <cellStyle name="Normal 5 5 2 4 2 2" xfId="4452" xr:uid="{00000000-0005-0000-0000-00003C100000}"/>
    <cellStyle name="Normal 5 5 2 4 2 3" xfId="3283" xr:uid="{00000000-0005-0000-0000-00003D100000}"/>
    <cellStyle name="Normal 5 5 2 4 3" xfId="1919" xr:uid="{00000000-0005-0000-0000-00003E100000}"/>
    <cellStyle name="Normal 5 5 2 4 3 2" xfId="5284" xr:uid="{00000000-0005-0000-0000-00003F100000}"/>
    <cellStyle name="Normal 5 5 2 4 4" xfId="3782" xr:uid="{00000000-0005-0000-0000-000040100000}"/>
    <cellStyle name="Normal 5 5 2 4 5" xfId="2615" xr:uid="{00000000-0005-0000-0000-000041100000}"/>
    <cellStyle name="Normal 5 5 2 5" xfId="700" xr:uid="{00000000-0005-0000-0000-000042100000}"/>
    <cellStyle name="Normal 5 5 2 5 2" xfId="1373" xr:uid="{00000000-0005-0000-0000-000043100000}"/>
    <cellStyle name="Normal 5 5 2 5 2 2" xfId="4738" xr:uid="{00000000-0005-0000-0000-000044100000}"/>
    <cellStyle name="Normal 5 5 2 5 2 3" xfId="3284" xr:uid="{00000000-0005-0000-0000-000045100000}"/>
    <cellStyle name="Normal 5 5 2 5 3" xfId="1920" xr:uid="{00000000-0005-0000-0000-000046100000}"/>
    <cellStyle name="Normal 5 5 2 5 3 2" xfId="5285" xr:uid="{00000000-0005-0000-0000-000047100000}"/>
    <cellStyle name="Normal 5 5 2 5 4" xfId="4068" xr:uid="{00000000-0005-0000-0000-000048100000}"/>
    <cellStyle name="Normal 5 5 2 5 5" xfId="2616" xr:uid="{00000000-0005-0000-0000-000049100000}"/>
    <cellStyle name="Normal 5 5 2 6" xfId="787" xr:uid="{00000000-0005-0000-0000-00004A100000}"/>
    <cellStyle name="Normal 5 5 2 6 2" xfId="4152" xr:uid="{00000000-0005-0000-0000-00004B100000}"/>
    <cellStyle name="Normal 5 5 2 6 3" xfId="2800" xr:uid="{00000000-0005-0000-0000-00004C100000}"/>
    <cellStyle name="Normal 5 5 2 7" xfId="1921" xr:uid="{00000000-0005-0000-0000-00004D100000}"/>
    <cellStyle name="Normal 5 5 2 7 2" xfId="5286" xr:uid="{00000000-0005-0000-0000-00004E100000}"/>
    <cellStyle name="Normal 5 5 2 8" xfId="3482" xr:uid="{00000000-0005-0000-0000-00004F100000}"/>
    <cellStyle name="Normal 5 5 2 9" xfId="2129" xr:uid="{00000000-0005-0000-0000-000050100000}"/>
    <cellStyle name="Normal 5 5 3" xfId="125" xr:uid="{00000000-0005-0000-0000-000051100000}"/>
    <cellStyle name="Normal 5 5 3 2" xfId="200" xr:uid="{00000000-0005-0000-0000-000052100000}"/>
    <cellStyle name="Normal 5 5 3 2 2" xfId="350" xr:uid="{00000000-0005-0000-0000-000053100000}"/>
    <cellStyle name="Normal 5 5 3 2 2 2" xfId="650" xr:uid="{00000000-0005-0000-0000-000054100000}"/>
    <cellStyle name="Normal 5 5 3 2 2 2 2" xfId="1323" xr:uid="{00000000-0005-0000-0000-000055100000}"/>
    <cellStyle name="Normal 5 5 3 2 2 2 2 2" xfId="4688" xr:uid="{00000000-0005-0000-0000-000056100000}"/>
    <cellStyle name="Normal 5 5 3 2 2 2 2 3" xfId="3287" xr:uid="{00000000-0005-0000-0000-000057100000}"/>
    <cellStyle name="Normal 5 5 3 2 2 2 3" xfId="1922" xr:uid="{00000000-0005-0000-0000-000058100000}"/>
    <cellStyle name="Normal 5 5 3 2 2 2 3 2" xfId="5287" xr:uid="{00000000-0005-0000-0000-000059100000}"/>
    <cellStyle name="Normal 5 5 3 2 2 2 4" xfId="4018" xr:uid="{00000000-0005-0000-0000-00005A100000}"/>
    <cellStyle name="Normal 5 5 3 2 2 2 5" xfId="2619" xr:uid="{00000000-0005-0000-0000-00005B100000}"/>
    <cellStyle name="Normal 5 5 3 2 2 3" xfId="1023" xr:uid="{00000000-0005-0000-0000-00005C100000}"/>
    <cellStyle name="Normal 5 5 3 2 2 3 2" xfId="4388" xr:uid="{00000000-0005-0000-0000-00005D100000}"/>
    <cellStyle name="Normal 5 5 3 2 2 3 3" xfId="3286" xr:uid="{00000000-0005-0000-0000-00005E100000}"/>
    <cellStyle name="Normal 5 5 3 2 2 4" xfId="1923" xr:uid="{00000000-0005-0000-0000-00005F100000}"/>
    <cellStyle name="Normal 5 5 3 2 2 4 2" xfId="5288" xr:uid="{00000000-0005-0000-0000-000060100000}"/>
    <cellStyle name="Normal 5 5 3 2 2 5" xfId="3718" xr:uid="{00000000-0005-0000-0000-000061100000}"/>
    <cellStyle name="Normal 5 5 3 2 2 6" xfId="2618" xr:uid="{00000000-0005-0000-0000-000062100000}"/>
    <cellStyle name="Normal 5 5 3 2 3" xfId="500" xr:uid="{00000000-0005-0000-0000-000063100000}"/>
    <cellStyle name="Normal 5 5 3 2 3 2" xfId="1173" xr:uid="{00000000-0005-0000-0000-000064100000}"/>
    <cellStyle name="Normal 5 5 3 2 3 2 2" xfId="4538" xr:uid="{00000000-0005-0000-0000-000065100000}"/>
    <cellStyle name="Normal 5 5 3 2 3 2 3" xfId="3288" xr:uid="{00000000-0005-0000-0000-000066100000}"/>
    <cellStyle name="Normal 5 5 3 2 3 3" xfId="1924" xr:uid="{00000000-0005-0000-0000-000067100000}"/>
    <cellStyle name="Normal 5 5 3 2 3 3 2" xfId="5289" xr:uid="{00000000-0005-0000-0000-000068100000}"/>
    <cellStyle name="Normal 5 5 3 2 3 4" xfId="3868" xr:uid="{00000000-0005-0000-0000-000069100000}"/>
    <cellStyle name="Normal 5 5 3 2 3 5" xfId="2620" xr:uid="{00000000-0005-0000-0000-00006A100000}"/>
    <cellStyle name="Normal 5 5 3 2 4" xfId="873" xr:uid="{00000000-0005-0000-0000-00006B100000}"/>
    <cellStyle name="Normal 5 5 3 2 4 2" xfId="4238" xr:uid="{00000000-0005-0000-0000-00006C100000}"/>
    <cellStyle name="Normal 5 5 3 2 4 3" xfId="3285" xr:uid="{00000000-0005-0000-0000-00006D100000}"/>
    <cellStyle name="Normal 5 5 3 2 5" xfId="1925" xr:uid="{00000000-0005-0000-0000-00006E100000}"/>
    <cellStyle name="Normal 5 5 3 2 5 2" xfId="5290" xr:uid="{00000000-0005-0000-0000-00006F100000}"/>
    <cellStyle name="Normal 5 5 3 2 6" xfId="3568" xr:uid="{00000000-0005-0000-0000-000070100000}"/>
    <cellStyle name="Normal 5 5 3 2 7" xfId="2617" xr:uid="{00000000-0005-0000-0000-000071100000}"/>
    <cellStyle name="Normal 5 5 3 3" xfId="275" xr:uid="{00000000-0005-0000-0000-000072100000}"/>
    <cellStyle name="Normal 5 5 3 3 2" xfId="575" xr:uid="{00000000-0005-0000-0000-000073100000}"/>
    <cellStyle name="Normal 5 5 3 3 2 2" xfId="1248" xr:uid="{00000000-0005-0000-0000-000074100000}"/>
    <cellStyle name="Normal 5 5 3 3 2 2 2" xfId="4613" xr:uid="{00000000-0005-0000-0000-000075100000}"/>
    <cellStyle name="Normal 5 5 3 3 2 2 3" xfId="3290" xr:uid="{00000000-0005-0000-0000-000076100000}"/>
    <cellStyle name="Normal 5 5 3 3 2 3" xfId="1926" xr:uid="{00000000-0005-0000-0000-000077100000}"/>
    <cellStyle name="Normal 5 5 3 3 2 3 2" xfId="5291" xr:uid="{00000000-0005-0000-0000-000078100000}"/>
    <cellStyle name="Normal 5 5 3 3 2 4" xfId="3943" xr:uid="{00000000-0005-0000-0000-000079100000}"/>
    <cellStyle name="Normal 5 5 3 3 2 5" xfId="2622" xr:uid="{00000000-0005-0000-0000-00007A100000}"/>
    <cellStyle name="Normal 5 5 3 3 3" xfId="948" xr:uid="{00000000-0005-0000-0000-00007B100000}"/>
    <cellStyle name="Normal 5 5 3 3 3 2" xfId="4313" xr:uid="{00000000-0005-0000-0000-00007C100000}"/>
    <cellStyle name="Normal 5 5 3 3 3 3" xfId="3289" xr:uid="{00000000-0005-0000-0000-00007D100000}"/>
    <cellStyle name="Normal 5 5 3 3 4" xfId="1927" xr:uid="{00000000-0005-0000-0000-00007E100000}"/>
    <cellStyle name="Normal 5 5 3 3 4 2" xfId="5292" xr:uid="{00000000-0005-0000-0000-00007F100000}"/>
    <cellStyle name="Normal 5 5 3 3 5" xfId="3643" xr:uid="{00000000-0005-0000-0000-000080100000}"/>
    <cellStyle name="Normal 5 5 3 3 6" xfId="2621" xr:uid="{00000000-0005-0000-0000-000081100000}"/>
    <cellStyle name="Normal 5 5 3 4" xfId="425" xr:uid="{00000000-0005-0000-0000-000082100000}"/>
    <cellStyle name="Normal 5 5 3 4 2" xfId="1098" xr:uid="{00000000-0005-0000-0000-000083100000}"/>
    <cellStyle name="Normal 5 5 3 4 2 2" xfId="4463" xr:uid="{00000000-0005-0000-0000-000084100000}"/>
    <cellStyle name="Normal 5 5 3 4 2 3" xfId="3291" xr:uid="{00000000-0005-0000-0000-000085100000}"/>
    <cellStyle name="Normal 5 5 3 4 3" xfId="1928" xr:uid="{00000000-0005-0000-0000-000086100000}"/>
    <cellStyle name="Normal 5 5 3 4 3 2" xfId="5293" xr:uid="{00000000-0005-0000-0000-000087100000}"/>
    <cellStyle name="Normal 5 5 3 4 4" xfId="3793" xr:uid="{00000000-0005-0000-0000-000088100000}"/>
    <cellStyle name="Normal 5 5 3 4 5" xfId="2623" xr:uid="{00000000-0005-0000-0000-000089100000}"/>
    <cellStyle name="Normal 5 5 3 5" xfId="711" xr:uid="{00000000-0005-0000-0000-00008A100000}"/>
    <cellStyle name="Normal 5 5 3 5 2" xfId="1384" xr:uid="{00000000-0005-0000-0000-00008B100000}"/>
    <cellStyle name="Normal 5 5 3 5 2 2" xfId="4749" xr:uid="{00000000-0005-0000-0000-00008C100000}"/>
    <cellStyle name="Normal 5 5 3 5 2 3" xfId="3292" xr:uid="{00000000-0005-0000-0000-00008D100000}"/>
    <cellStyle name="Normal 5 5 3 5 3" xfId="1929" xr:uid="{00000000-0005-0000-0000-00008E100000}"/>
    <cellStyle name="Normal 5 5 3 5 3 2" xfId="5294" xr:uid="{00000000-0005-0000-0000-00008F100000}"/>
    <cellStyle name="Normal 5 5 3 5 4" xfId="4079" xr:uid="{00000000-0005-0000-0000-000090100000}"/>
    <cellStyle name="Normal 5 5 3 5 5" xfId="2624" xr:uid="{00000000-0005-0000-0000-000091100000}"/>
    <cellStyle name="Normal 5 5 3 6" xfId="798" xr:uid="{00000000-0005-0000-0000-000092100000}"/>
    <cellStyle name="Normal 5 5 3 6 2" xfId="4163" xr:uid="{00000000-0005-0000-0000-000093100000}"/>
    <cellStyle name="Normal 5 5 3 6 3" xfId="2811" xr:uid="{00000000-0005-0000-0000-000094100000}"/>
    <cellStyle name="Normal 5 5 3 7" xfId="1930" xr:uid="{00000000-0005-0000-0000-000095100000}"/>
    <cellStyle name="Normal 5 5 3 7 2" xfId="5295" xr:uid="{00000000-0005-0000-0000-000096100000}"/>
    <cellStyle name="Normal 5 5 3 8" xfId="3493" xr:uid="{00000000-0005-0000-0000-000097100000}"/>
    <cellStyle name="Normal 5 5 3 9" xfId="2140" xr:uid="{00000000-0005-0000-0000-000098100000}"/>
    <cellStyle name="Normal 5 5 4" xfId="132" xr:uid="{00000000-0005-0000-0000-000099100000}"/>
    <cellStyle name="Normal 5 5 4 2" xfId="207" xr:uid="{00000000-0005-0000-0000-00009A100000}"/>
    <cellStyle name="Normal 5 5 4 2 2" xfId="357" xr:uid="{00000000-0005-0000-0000-00009B100000}"/>
    <cellStyle name="Normal 5 5 4 2 2 2" xfId="657" xr:uid="{00000000-0005-0000-0000-00009C100000}"/>
    <cellStyle name="Normal 5 5 4 2 2 2 2" xfId="1330" xr:uid="{00000000-0005-0000-0000-00009D100000}"/>
    <cellStyle name="Normal 5 5 4 2 2 2 2 2" xfId="4695" xr:uid="{00000000-0005-0000-0000-00009E100000}"/>
    <cellStyle name="Normal 5 5 4 2 2 2 2 3" xfId="3295" xr:uid="{00000000-0005-0000-0000-00009F100000}"/>
    <cellStyle name="Normal 5 5 4 2 2 2 3" xfId="1931" xr:uid="{00000000-0005-0000-0000-0000A0100000}"/>
    <cellStyle name="Normal 5 5 4 2 2 2 3 2" xfId="5296" xr:uid="{00000000-0005-0000-0000-0000A1100000}"/>
    <cellStyle name="Normal 5 5 4 2 2 2 4" xfId="4025" xr:uid="{00000000-0005-0000-0000-0000A2100000}"/>
    <cellStyle name="Normal 5 5 4 2 2 2 5" xfId="2627" xr:uid="{00000000-0005-0000-0000-0000A3100000}"/>
    <cellStyle name="Normal 5 5 4 2 2 3" xfId="1030" xr:uid="{00000000-0005-0000-0000-0000A4100000}"/>
    <cellStyle name="Normal 5 5 4 2 2 3 2" xfId="4395" xr:uid="{00000000-0005-0000-0000-0000A5100000}"/>
    <cellStyle name="Normal 5 5 4 2 2 3 3" xfId="3294" xr:uid="{00000000-0005-0000-0000-0000A6100000}"/>
    <cellStyle name="Normal 5 5 4 2 2 4" xfId="1932" xr:uid="{00000000-0005-0000-0000-0000A7100000}"/>
    <cellStyle name="Normal 5 5 4 2 2 4 2" xfId="5297" xr:uid="{00000000-0005-0000-0000-0000A8100000}"/>
    <cellStyle name="Normal 5 5 4 2 2 5" xfId="3725" xr:uid="{00000000-0005-0000-0000-0000A9100000}"/>
    <cellStyle name="Normal 5 5 4 2 2 6" xfId="2626" xr:uid="{00000000-0005-0000-0000-0000AA100000}"/>
    <cellStyle name="Normal 5 5 4 2 3" xfId="507" xr:uid="{00000000-0005-0000-0000-0000AB100000}"/>
    <cellStyle name="Normal 5 5 4 2 3 2" xfId="1180" xr:uid="{00000000-0005-0000-0000-0000AC100000}"/>
    <cellStyle name="Normal 5 5 4 2 3 2 2" xfId="4545" xr:uid="{00000000-0005-0000-0000-0000AD100000}"/>
    <cellStyle name="Normal 5 5 4 2 3 2 3" xfId="3296" xr:uid="{00000000-0005-0000-0000-0000AE100000}"/>
    <cellStyle name="Normal 5 5 4 2 3 3" xfId="1933" xr:uid="{00000000-0005-0000-0000-0000AF100000}"/>
    <cellStyle name="Normal 5 5 4 2 3 3 2" xfId="5298" xr:uid="{00000000-0005-0000-0000-0000B0100000}"/>
    <cellStyle name="Normal 5 5 4 2 3 4" xfId="3875" xr:uid="{00000000-0005-0000-0000-0000B1100000}"/>
    <cellStyle name="Normal 5 5 4 2 3 5" xfId="2628" xr:uid="{00000000-0005-0000-0000-0000B2100000}"/>
    <cellStyle name="Normal 5 5 4 2 4" xfId="880" xr:uid="{00000000-0005-0000-0000-0000B3100000}"/>
    <cellStyle name="Normal 5 5 4 2 4 2" xfId="4245" xr:uid="{00000000-0005-0000-0000-0000B4100000}"/>
    <cellStyle name="Normal 5 5 4 2 4 3" xfId="3293" xr:uid="{00000000-0005-0000-0000-0000B5100000}"/>
    <cellStyle name="Normal 5 5 4 2 5" xfId="1934" xr:uid="{00000000-0005-0000-0000-0000B6100000}"/>
    <cellStyle name="Normal 5 5 4 2 5 2" xfId="5299" xr:uid="{00000000-0005-0000-0000-0000B7100000}"/>
    <cellStyle name="Normal 5 5 4 2 6" xfId="3575" xr:uid="{00000000-0005-0000-0000-0000B8100000}"/>
    <cellStyle name="Normal 5 5 4 2 7" xfId="2625" xr:uid="{00000000-0005-0000-0000-0000B9100000}"/>
    <cellStyle name="Normal 5 5 4 3" xfId="282" xr:uid="{00000000-0005-0000-0000-0000BA100000}"/>
    <cellStyle name="Normal 5 5 4 3 2" xfId="582" xr:uid="{00000000-0005-0000-0000-0000BB100000}"/>
    <cellStyle name="Normal 5 5 4 3 2 2" xfId="1255" xr:uid="{00000000-0005-0000-0000-0000BC100000}"/>
    <cellStyle name="Normal 5 5 4 3 2 2 2" xfId="4620" xr:uid="{00000000-0005-0000-0000-0000BD100000}"/>
    <cellStyle name="Normal 5 5 4 3 2 2 3" xfId="3298" xr:uid="{00000000-0005-0000-0000-0000BE100000}"/>
    <cellStyle name="Normal 5 5 4 3 2 3" xfId="1935" xr:uid="{00000000-0005-0000-0000-0000BF100000}"/>
    <cellStyle name="Normal 5 5 4 3 2 3 2" xfId="5300" xr:uid="{00000000-0005-0000-0000-0000C0100000}"/>
    <cellStyle name="Normal 5 5 4 3 2 4" xfId="3950" xr:uid="{00000000-0005-0000-0000-0000C1100000}"/>
    <cellStyle name="Normal 5 5 4 3 2 5" xfId="2630" xr:uid="{00000000-0005-0000-0000-0000C2100000}"/>
    <cellStyle name="Normal 5 5 4 3 3" xfId="955" xr:uid="{00000000-0005-0000-0000-0000C3100000}"/>
    <cellStyle name="Normal 5 5 4 3 3 2" xfId="4320" xr:uid="{00000000-0005-0000-0000-0000C4100000}"/>
    <cellStyle name="Normal 5 5 4 3 3 3" xfId="3297" xr:uid="{00000000-0005-0000-0000-0000C5100000}"/>
    <cellStyle name="Normal 5 5 4 3 4" xfId="1936" xr:uid="{00000000-0005-0000-0000-0000C6100000}"/>
    <cellStyle name="Normal 5 5 4 3 4 2" xfId="5301" xr:uid="{00000000-0005-0000-0000-0000C7100000}"/>
    <cellStyle name="Normal 5 5 4 3 5" xfId="3650" xr:uid="{00000000-0005-0000-0000-0000C8100000}"/>
    <cellStyle name="Normal 5 5 4 3 6" xfId="2629" xr:uid="{00000000-0005-0000-0000-0000C9100000}"/>
    <cellStyle name="Normal 5 5 4 4" xfId="432" xr:uid="{00000000-0005-0000-0000-0000CA100000}"/>
    <cellStyle name="Normal 5 5 4 4 2" xfId="1105" xr:uid="{00000000-0005-0000-0000-0000CB100000}"/>
    <cellStyle name="Normal 5 5 4 4 2 2" xfId="4470" xr:uid="{00000000-0005-0000-0000-0000CC100000}"/>
    <cellStyle name="Normal 5 5 4 4 2 3" xfId="3299" xr:uid="{00000000-0005-0000-0000-0000CD100000}"/>
    <cellStyle name="Normal 5 5 4 4 3" xfId="1937" xr:uid="{00000000-0005-0000-0000-0000CE100000}"/>
    <cellStyle name="Normal 5 5 4 4 3 2" xfId="5302" xr:uid="{00000000-0005-0000-0000-0000CF100000}"/>
    <cellStyle name="Normal 5 5 4 4 4" xfId="3800" xr:uid="{00000000-0005-0000-0000-0000D0100000}"/>
    <cellStyle name="Normal 5 5 4 4 5" xfId="2631" xr:uid="{00000000-0005-0000-0000-0000D1100000}"/>
    <cellStyle name="Normal 5 5 4 5" xfId="718" xr:uid="{00000000-0005-0000-0000-0000D2100000}"/>
    <cellStyle name="Normal 5 5 4 5 2" xfId="1391" xr:uid="{00000000-0005-0000-0000-0000D3100000}"/>
    <cellStyle name="Normal 5 5 4 5 2 2" xfId="4756" xr:uid="{00000000-0005-0000-0000-0000D4100000}"/>
    <cellStyle name="Normal 5 5 4 5 2 3" xfId="3300" xr:uid="{00000000-0005-0000-0000-0000D5100000}"/>
    <cellStyle name="Normal 5 5 4 5 3" xfId="1938" xr:uid="{00000000-0005-0000-0000-0000D6100000}"/>
    <cellStyle name="Normal 5 5 4 5 3 2" xfId="5303" xr:uid="{00000000-0005-0000-0000-0000D7100000}"/>
    <cellStyle name="Normal 5 5 4 5 4" xfId="4086" xr:uid="{00000000-0005-0000-0000-0000D8100000}"/>
    <cellStyle name="Normal 5 5 4 5 5" xfId="2632" xr:uid="{00000000-0005-0000-0000-0000D9100000}"/>
    <cellStyle name="Normal 5 5 4 6" xfId="805" xr:uid="{00000000-0005-0000-0000-0000DA100000}"/>
    <cellStyle name="Normal 5 5 4 6 2" xfId="4170" xr:uid="{00000000-0005-0000-0000-0000DB100000}"/>
    <cellStyle name="Normal 5 5 4 6 3" xfId="2818" xr:uid="{00000000-0005-0000-0000-0000DC100000}"/>
    <cellStyle name="Normal 5 5 4 7" xfId="1939" xr:uid="{00000000-0005-0000-0000-0000DD100000}"/>
    <cellStyle name="Normal 5 5 4 7 2" xfId="5304" xr:uid="{00000000-0005-0000-0000-0000DE100000}"/>
    <cellStyle name="Normal 5 5 4 8" xfId="3500" xr:uid="{00000000-0005-0000-0000-0000DF100000}"/>
    <cellStyle name="Normal 5 5 4 9" xfId="2147" xr:uid="{00000000-0005-0000-0000-0000E0100000}"/>
    <cellStyle name="Normal 5 5 5" xfId="163" xr:uid="{00000000-0005-0000-0000-0000E1100000}"/>
    <cellStyle name="Normal 5 5 5 2" xfId="313" xr:uid="{00000000-0005-0000-0000-0000E2100000}"/>
    <cellStyle name="Normal 5 5 5 2 2" xfId="613" xr:uid="{00000000-0005-0000-0000-0000E3100000}"/>
    <cellStyle name="Normal 5 5 5 2 2 2" xfId="1286" xr:uid="{00000000-0005-0000-0000-0000E4100000}"/>
    <cellStyle name="Normal 5 5 5 2 2 2 2" xfId="4651" xr:uid="{00000000-0005-0000-0000-0000E5100000}"/>
    <cellStyle name="Normal 5 5 5 2 2 2 3" xfId="3303" xr:uid="{00000000-0005-0000-0000-0000E6100000}"/>
    <cellStyle name="Normal 5 5 5 2 2 3" xfId="1940" xr:uid="{00000000-0005-0000-0000-0000E7100000}"/>
    <cellStyle name="Normal 5 5 5 2 2 3 2" xfId="5305" xr:uid="{00000000-0005-0000-0000-0000E8100000}"/>
    <cellStyle name="Normal 5 5 5 2 2 4" xfId="3981" xr:uid="{00000000-0005-0000-0000-0000E9100000}"/>
    <cellStyle name="Normal 5 5 5 2 2 5" xfId="2635" xr:uid="{00000000-0005-0000-0000-0000EA100000}"/>
    <cellStyle name="Normal 5 5 5 2 3" xfId="986" xr:uid="{00000000-0005-0000-0000-0000EB100000}"/>
    <cellStyle name="Normal 5 5 5 2 3 2" xfId="4351" xr:uid="{00000000-0005-0000-0000-0000EC100000}"/>
    <cellStyle name="Normal 5 5 5 2 3 3" xfId="3302" xr:uid="{00000000-0005-0000-0000-0000ED100000}"/>
    <cellStyle name="Normal 5 5 5 2 4" xfId="1941" xr:uid="{00000000-0005-0000-0000-0000EE100000}"/>
    <cellStyle name="Normal 5 5 5 2 4 2" xfId="5306" xr:uid="{00000000-0005-0000-0000-0000EF100000}"/>
    <cellStyle name="Normal 5 5 5 2 5" xfId="3681" xr:uid="{00000000-0005-0000-0000-0000F0100000}"/>
    <cellStyle name="Normal 5 5 5 2 6" xfId="2634" xr:uid="{00000000-0005-0000-0000-0000F1100000}"/>
    <cellStyle name="Normal 5 5 5 3" xfId="463" xr:uid="{00000000-0005-0000-0000-0000F2100000}"/>
    <cellStyle name="Normal 5 5 5 3 2" xfId="1136" xr:uid="{00000000-0005-0000-0000-0000F3100000}"/>
    <cellStyle name="Normal 5 5 5 3 2 2" xfId="4501" xr:uid="{00000000-0005-0000-0000-0000F4100000}"/>
    <cellStyle name="Normal 5 5 5 3 2 3" xfId="3304" xr:uid="{00000000-0005-0000-0000-0000F5100000}"/>
    <cellStyle name="Normal 5 5 5 3 3" xfId="1942" xr:uid="{00000000-0005-0000-0000-0000F6100000}"/>
    <cellStyle name="Normal 5 5 5 3 3 2" xfId="5307" xr:uid="{00000000-0005-0000-0000-0000F7100000}"/>
    <cellStyle name="Normal 5 5 5 3 4" xfId="3831" xr:uid="{00000000-0005-0000-0000-0000F8100000}"/>
    <cellStyle name="Normal 5 5 5 3 5" xfId="2636" xr:uid="{00000000-0005-0000-0000-0000F9100000}"/>
    <cellStyle name="Normal 5 5 5 4" xfId="836" xr:uid="{00000000-0005-0000-0000-0000FA100000}"/>
    <cellStyle name="Normal 5 5 5 4 2" xfId="4201" xr:uid="{00000000-0005-0000-0000-0000FB100000}"/>
    <cellStyle name="Normal 5 5 5 4 3" xfId="3301" xr:uid="{00000000-0005-0000-0000-0000FC100000}"/>
    <cellStyle name="Normal 5 5 5 5" xfId="1943" xr:uid="{00000000-0005-0000-0000-0000FD100000}"/>
    <cellStyle name="Normal 5 5 5 5 2" xfId="5308" xr:uid="{00000000-0005-0000-0000-0000FE100000}"/>
    <cellStyle name="Normal 5 5 5 6" xfId="3531" xr:uid="{00000000-0005-0000-0000-0000FF100000}"/>
    <cellStyle name="Normal 5 5 5 7" xfId="2633" xr:uid="{00000000-0005-0000-0000-000000110000}"/>
    <cellStyle name="Normal 5 5 6" xfId="238" xr:uid="{00000000-0005-0000-0000-000001110000}"/>
    <cellStyle name="Normal 5 5 6 2" xfId="538" xr:uid="{00000000-0005-0000-0000-000002110000}"/>
    <cellStyle name="Normal 5 5 6 2 2" xfId="1211" xr:uid="{00000000-0005-0000-0000-000003110000}"/>
    <cellStyle name="Normal 5 5 6 2 2 2" xfId="4576" xr:uid="{00000000-0005-0000-0000-000004110000}"/>
    <cellStyle name="Normal 5 5 6 2 2 3" xfId="3306" xr:uid="{00000000-0005-0000-0000-000005110000}"/>
    <cellStyle name="Normal 5 5 6 2 3" xfId="1944" xr:uid="{00000000-0005-0000-0000-000006110000}"/>
    <cellStyle name="Normal 5 5 6 2 3 2" xfId="5309" xr:uid="{00000000-0005-0000-0000-000007110000}"/>
    <cellStyle name="Normal 5 5 6 2 4" xfId="3906" xr:uid="{00000000-0005-0000-0000-000008110000}"/>
    <cellStyle name="Normal 5 5 6 2 5" xfId="2638" xr:uid="{00000000-0005-0000-0000-000009110000}"/>
    <cellStyle name="Normal 5 5 6 3" xfId="911" xr:uid="{00000000-0005-0000-0000-00000A110000}"/>
    <cellStyle name="Normal 5 5 6 3 2" xfId="4276" xr:uid="{00000000-0005-0000-0000-00000B110000}"/>
    <cellStyle name="Normal 5 5 6 3 3" xfId="3305" xr:uid="{00000000-0005-0000-0000-00000C110000}"/>
    <cellStyle name="Normal 5 5 6 4" xfId="1945" xr:uid="{00000000-0005-0000-0000-00000D110000}"/>
    <cellStyle name="Normal 5 5 6 4 2" xfId="5310" xr:uid="{00000000-0005-0000-0000-00000E110000}"/>
    <cellStyle name="Normal 5 5 6 5" xfId="3606" xr:uid="{00000000-0005-0000-0000-00000F110000}"/>
    <cellStyle name="Normal 5 5 6 6" xfId="2637" xr:uid="{00000000-0005-0000-0000-000010110000}"/>
    <cellStyle name="Normal 5 5 7" xfId="388" xr:uid="{00000000-0005-0000-0000-000011110000}"/>
    <cellStyle name="Normal 5 5 7 2" xfId="1061" xr:uid="{00000000-0005-0000-0000-000012110000}"/>
    <cellStyle name="Normal 5 5 7 2 2" xfId="4426" xr:uid="{00000000-0005-0000-0000-000013110000}"/>
    <cellStyle name="Normal 5 5 7 2 3" xfId="3307" xr:uid="{00000000-0005-0000-0000-000014110000}"/>
    <cellStyle name="Normal 5 5 7 3" xfId="1946" xr:uid="{00000000-0005-0000-0000-000015110000}"/>
    <cellStyle name="Normal 5 5 7 3 2" xfId="5311" xr:uid="{00000000-0005-0000-0000-000016110000}"/>
    <cellStyle name="Normal 5 5 7 4" xfId="3756" xr:uid="{00000000-0005-0000-0000-000017110000}"/>
    <cellStyle name="Normal 5 5 7 5" xfId="2639" xr:uid="{00000000-0005-0000-0000-000018110000}"/>
    <cellStyle name="Normal 5 5 8" xfId="674" xr:uid="{00000000-0005-0000-0000-000019110000}"/>
    <cellStyle name="Normal 5 5 8 2" xfId="1347" xr:uid="{00000000-0005-0000-0000-00001A110000}"/>
    <cellStyle name="Normal 5 5 8 2 2" xfId="4712" xr:uid="{00000000-0005-0000-0000-00001B110000}"/>
    <cellStyle name="Normal 5 5 8 2 3" xfId="3308" xr:uid="{00000000-0005-0000-0000-00001C110000}"/>
    <cellStyle name="Normal 5 5 8 3" xfId="1947" xr:uid="{00000000-0005-0000-0000-00001D110000}"/>
    <cellStyle name="Normal 5 5 8 3 2" xfId="5312" xr:uid="{00000000-0005-0000-0000-00001E110000}"/>
    <cellStyle name="Normal 5 5 8 4" xfId="4042" xr:uid="{00000000-0005-0000-0000-00001F110000}"/>
    <cellStyle name="Normal 5 5 8 5" xfId="2640" xr:uid="{00000000-0005-0000-0000-000020110000}"/>
    <cellStyle name="Normal 5 5 9" xfId="722" xr:uid="{00000000-0005-0000-0000-000021110000}"/>
    <cellStyle name="Normal 5 5 9 2" xfId="1395" xr:uid="{00000000-0005-0000-0000-000022110000}"/>
    <cellStyle name="Normal 5 5 9 2 2" xfId="4760" xr:uid="{00000000-0005-0000-0000-000023110000}"/>
    <cellStyle name="Normal 5 5 9 2 3" xfId="3309" xr:uid="{00000000-0005-0000-0000-000024110000}"/>
    <cellStyle name="Normal 5 5 9 3" xfId="1948" xr:uid="{00000000-0005-0000-0000-000025110000}"/>
    <cellStyle name="Normal 5 5 9 3 2" xfId="5313" xr:uid="{00000000-0005-0000-0000-000026110000}"/>
    <cellStyle name="Normal 5 5 9 4" xfId="4090" xr:uid="{00000000-0005-0000-0000-000027110000}"/>
    <cellStyle name="Normal 5 5 9 5" xfId="2641" xr:uid="{00000000-0005-0000-0000-000028110000}"/>
    <cellStyle name="Normal 5 6" xfId="89" xr:uid="{00000000-0005-0000-0000-000029110000}"/>
    <cellStyle name="Normal 5 6 10" xfId="3457" xr:uid="{00000000-0005-0000-0000-00002A110000}"/>
    <cellStyle name="Normal 5 6 11" xfId="2104" xr:uid="{00000000-0005-0000-0000-00002B110000}"/>
    <cellStyle name="Normal 5 6 2" xfId="115" xr:uid="{00000000-0005-0000-0000-00002C110000}"/>
    <cellStyle name="Normal 5 6 2 2" xfId="190" xr:uid="{00000000-0005-0000-0000-00002D110000}"/>
    <cellStyle name="Normal 5 6 2 2 2" xfId="340" xr:uid="{00000000-0005-0000-0000-00002E110000}"/>
    <cellStyle name="Normal 5 6 2 2 2 2" xfId="640" xr:uid="{00000000-0005-0000-0000-00002F110000}"/>
    <cellStyle name="Normal 5 6 2 2 2 2 2" xfId="1313" xr:uid="{00000000-0005-0000-0000-000030110000}"/>
    <cellStyle name="Normal 5 6 2 2 2 2 2 2" xfId="4678" xr:uid="{00000000-0005-0000-0000-000031110000}"/>
    <cellStyle name="Normal 5 6 2 2 2 2 2 3" xfId="3312" xr:uid="{00000000-0005-0000-0000-000032110000}"/>
    <cellStyle name="Normal 5 6 2 2 2 2 3" xfId="1949" xr:uid="{00000000-0005-0000-0000-000033110000}"/>
    <cellStyle name="Normal 5 6 2 2 2 2 3 2" xfId="5314" xr:uid="{00000000-0005-0000-0000-000034110000}"/>
    <cellStyle name="Normal 5 6 2 2 2 2 4" xfId="4008" xr:uid="{00000000-0005-0000-0000-000035110000}"/>
    <cellStyle name="Normal 5 6 2 2 2 2 5" xfId="2644" xr:uid="{00000000-0005-0000-0000-000036110000}"/>
    <cellStyle name="Normal 5 6 2 2 2 3" xfId="1013" xr:uid="{00000000-0005-0000-0000-000037110000}"/>
    <cellStyle name="Normal 5 6 2 2 2 3 2" xfId="4378" xr:uid="{00000000-0005-0000-0000-000038110000}"/>
    <cellStyle name="Normal 5 6 2 2 2 3 3" xfId="3311" xr:uid="{00000000-0005-0000-0000-000039110000}"/>
    <cellStyle name="Normal 5 6 2 2 2 4" xfId="1950" xr:uid="{00000000-0005-0000-0000-00003A110000}"/>
    <cellStyle name="Normal 5 6 2 2 2 4 2" xfId="5315" xr:uid="{00000000-0005-0000-0000-00003B110000}"/>
    <cellStyle name="Normal 5 6 2 2 2 5" xfId="3708" xr:uid="{00000000-0005-0000-0000-00003C110000}"/>
    <cellStyle name="Normal 5 6 2 2 2 6" xfId="2643" xr:uid="{00000000-0005-0000-0000-00003D110000}"/>
    <cellStyle name="Normal 5 6 2 2 3" xfId="490" xr:uid="{00000000-0005-0000-0000-00003E110000}"/>
    <cellStyle name="Normal 5 6 2 2 3 2" xfId="1163" xr:uid="{00000000-0005-0000-0000-00003F110000}"/>
    <cellStyle name="Normal 5 6 2 2 3 2 2" xfId="4528" xr:uid="{00000000-0005-0000-0000-000040110000}"/>
    <cellStyle name="Normal 5 6 2 2 3 2 3" xfId="3313" xr:uid="{00000000-0005-0000-0000-000041110000}"/>
    <cellStyle name="Normal 5 6 2 2 3 3" xfId="1951" xr:uid="{00000000-0005-0000-0000-000042110000}"/>
    <cellStyle name="Normal 5 6 2 2 3 3 2" xfId="5316" xr:uid="{00000000-0005-0000-0000-000043110000}"/>
    <cellStyle name="Normal 5 6 2 2 3 4" xfId="3858" xr:uid="{00000000-0005-0000-0000-000044110000}"/>
    <cellStyle name="Normal 5 6 2 2 3 5" xfId="2645" xr:uid="{00000000-0005-0000-0000-000045110000}"/>
    <cellStyle name="Normal 5 6 2 2 4" xfId="863" xr:uid="{00000000-0005-0000-0000-000046110000}"/>
    <cellStyle name="Normal 5 6 2 2 4 2" xfId="4228" xr:uid="{00000000-0005-0000-0000-000047110000}"/>
    <cellStyle name="Normal 5 6 2 2 4 3" xfId="3310" xr:uid="{00000000-0005-0000-0000-000048110000}"/>
    <cellStyle name="Normal 5 6 2 2 5" xfId="1952" xr:uid="{00000000-0005-0000-0000-000049110000}"/>
    <cellStyle name="Normal 5 6 2 2 5 2" xfId="5317" xr:uid="{00000000-0005-0000-0000-00004A110000}"/>
    <cellStyle name="Normal 5 6 2 2 6" xfId="3558" xr:uid="{00000000-0005-0000-0000-00004B110000}"/>
    <cellStyle name="Normal 5 6 2 2 7" xfId="2642" xr:uid="{00000000-0005-0000-0000-00004C110000}"/>
    <cellStyle name="Normal 5 6 2 3" xfId="265" xr:uid="{00000000-0005-0000-0000-00004D110000}"/>
    <cellStyle name="Normal 5 6 2 3 2" xfId="565" xr:uid="{00000000-0005-0000-0000-00004E110000}"/>
    <cellStyle name="Normal 5 6 2 3 2 2" xfId="1238" xr:uid="{00000000-0005-0000-0000-00004F110000}"/>
    <cellStyle name="Normal 5 6 2 3 2 2 2" xfId="4603" xr:uid="{00000000-0005-0000-0000-000050110000}"/>
    <cellStyle name="Normal 5 6 2 3 2 2 3" xfId="3315" xr:uid="{00000000-0005-0000-0000-000051110000}"/>
    <cellStyle name="Normal 5 6 2 3 2 3" xfId="1953" xr:uid="{00000000-0005-0000-0000-000052110000}"/>
    <cellStyle name="Normal 5 6 2 3 2 3 2" xfId="5318" xr:uid="{00000000-0005-0000-0000-000053110000}"/>
    <cellStyle name="Normal 5 6 2 3 2 4" xfId="3933" xr:uid="{00000000-0005-0000-0000-000054110000}"/>
    <cellStyle name="Normal 5 6 2 3 2 5" xfId="2647" xr:uid="{00000000-0005-0000-0000-000055110000}"/>
    <cellStyle name="Normal 5 6 2 3 3" xfId="938" xr:uid="{00000000-0005-0000-0000-000056110000}"/>
    <cellStyle name="Normal 5 6 2 3 3 2" xfId="4303" xr:uid="{00000000-0005-0000-0000-000057110000}"/>
    <cellStyle name="Normal 5 6 2 3 3 3" xfId="3314" xr:uid="{00000000-0005-0000-0000-000058110000}"/>
    <cellStyle name="Normal 5 6 2 3 4" xfId="1954" xr:uid="{00000000-0005-0000-0000-000059110000}"/>
    <cellStyle name="Normal 5 6 2 3 4 2" xfId="5319" xr:uid="{00000000-0005-0000-0000-00005A110000}"/>
    <cellStyle name="Normal 5 6 2 3 5" xfId="3633" xr:uid="{00000000-0005-0000-0000-00005B110000}"/>
    <cellStyle name="Normal 5 6 2 3 6" xfId="2646" xr:uid="{00000000-0005-0000-0000-00005C110000}"/>
    <cellStyle name="Normal 5 6 2 4" xfId="415" xr:uid="{00000000-0005-0000-0000-00005D110000}"/>
    <cellStyle name="Normal 5 6 2 4 2" xfId="1088" xr:uid="{00000000-0005-0000-0000-00005E110000}"/>
    <cellStyle name="Normal 5 6 2 4 2 2" xfId="4453" xr:uid="{00000000-0005-0000-0000-00005F110000}"/>
    <cellStyle name="Normal 5 6 2 4 2 3" xfId="3316" xr:uid="{00000000-0005-0000-0000-000060110000}"/>
    <cellStyle name="Normal 5 6 2 4 3" xfId="1955" xr:uid="{00000000-0005-0000-0000-000061110000}"/>
    <cellStyle name="Normal 5 6 2 4 3 2" xfId="5320" xr:uid="{00000000-0005-0000-0000-000062110000}"/>
    <cellStyle name="Normal 5 6 2 4 4" xfId="3783" xr:uid="{00000000-0005-0000-0000-000063110000}"/>
    <cellStyle name="Normal 5 6 2 4 5" xfId="2648" xr:uid="{00000000-0005-0000-0000-000064110000}"/>
    <cellStyle name="Normal 5 6 2 5" xfId="701" xr:uid="{00000000-0005-0000-0000-000065110000}"/>
    <cellStyle name="Normal 5 6 2 5 2" xfId="1374" xr:uid="{00000000-0005-0000-0000-000066110000}"/>
    <cellStyle name="Normal 5 6 2 5 2 2" xfId="4739" xr:uid="{00000000-0005-0000-0000-000067110000}"/>
    <cellStyle name="Normal 5 6 2 5 2 3" xfId="3317" xr:uid="{00000000-0005-0000-0000-000068110000}"/>
    <cellStyle name="Normal 5 6 2 5 3" xfId="1956" xr:uid="{00000000-0005-0000-0000-000069110000}"/>
    <cellStyle name="Normal 5 6 2 5 3 2" xfId="5321" xr:uid="{00000000-0005-0000-0000-00006A110000}"/>
    <cellStyle name="Normal 5 6 2 5 4" xfId="4069" xr:uid="{00000000-0005-0000-0000-00006B110000}"/>
    <cellStyle name="Normal 5 6 2 5 5" xfId="2649" xr:uid="{00000000-0005-0000-0000-00006C110000}"/>
    <cellStyle name="Normal 5 6 2 6" xfId="788" xr:uid="{00000000-0005-0000-0000-00006D110000}"/>
    <cellStyle name="Normal 5 6 2 6 2" xfId="4153" xr:uid="{00000000-0005-0000-0000-00006E110000}"/>
    <cellStyle name="Normal 5 6 2 6 3" xfId="2801" xr:uid="{00000000-0005-0000-0000-00006F110000}"/>
    <cellStyle name="Normal 5 6 2 7" xfId="1957" xr:uid="{00000000-0005-0000-0000-000070110000}"/>
    <cellStyle name="Normal 5 6 2 7 2" xfId="5322" xr:uid="{00000000-0005-0000-0000-000071110000}"/>
    <cellStyle name="Normal 5 6 2 8" xfId="3483" xr:uid="{00000000-0005-0000-0000-000072110000}"/>
    <cellStyle name="Normal 5 6 2 9" xfId="2130" xr:uid="{00000000-0005-0000-0000-000073110000}"/>
    <cellStyle name="Normal 5 6 3" xfId="123" xr:uid="{00000000-0005-0000-0000-000074110000}"/>
    <cellStyle name="Normal 5 6 3 2" xfId="198" xr:uid="{00000000-0005-0000-0000-000075110000}"/>
    <cellStyle name="Normal 5 6 3 2 2" xfId="348" xr:uid="{00000000-0005-0000-0000-000076110000}"/>
    <cellStyle name="Normal 5 6 3 2 2 2" xfId="648" xr:uid="{00000000-0005-0000-0000-000077110000}"/>
    <cellStyle name="Normal 5 6 3 2 2 2 2" xfId="1321" xr:uid="{00000000-0005-0000-0000-000078110000}"/>
    <cellStyle name="Normal 5 6 3 2 2 2 2 2" xfId="4686" xr:uid="{00000000-0005-0000-0000-000079110000}"/>
    <cellStyle name="Normal 5 6 3 2 2 2 2 3" xfId="3320" xr:uid="{00000000-0005-0000-0000-00007A110000}"/>
    <cellStyle name="Normal 5 6 3 2 2 2 3" xfId="1958" xr:uid="{00000000-0005-0000-0000-00007B110000}"/>
    <cellStyle name="Normal 5 6 3 2 2 2 3 2" xfId="5323" xr:uid="{00000000-0005-0000-0000-00007C110000}"/>
    <cellStyle name="Normal 5 6 3 2 2 2 4" xfId="4016" xr:uid="{00000000-0005-0000-0000-00007D110000}"/>
    <cellStyle name="Normal 5 6 3 2 2 2 5" xfId="2652" xr:uid="{00000000-0005-0000-0000-00007E110000}"/>
    <cellStyle name="Normal 5 6 3 2 2 3" xfId="1021" xr:uid="{00000000-0005-0000-0000-00007F110000}"/>
    <cellStyle name="Normal 5 6 3 2 2 3 2" xfId="4386" xr:uid="{00000000-0005-0000-0000-000080110000}"/>
    <cellStyle name="Normal 5 6 3 2 2 3 3" xfId="3319" xr:uid="{00000000-0005-0000-0000-000081110000}"/>
    <cellStyle name="Normal 5 6 3 2 2 4" xfId="1959" xr:uid="{00000000-0005-0000-0000-000082110000}"/>
    <cellStyle name="Normal 5 6 3 2 2 4 2" xfId="5324" xr:uid="{00000000-0005-0000-0000-000083110000}"/>
    <cellStyle name="Normal 5 6 3 2 2 5" xfId="3716" xr:uid="{00000000-0005-0000-0000-000084110000}"/>
    <cellStyle name="Normal 5 6 3 2 2 6" xfId="2651" xr:uid="{00000000-0005-0000-0000-000085110000}"/>
    <cellStyle name="Normal 5 6 3 2 3" xfId="498" xr:uid="{00000000-0005-0000-0000-000086110000}"/>
    <cellStyle name="Normal 5 6 3 2 3 2" xfId="1171" xr:uid="{00000000-0005-0000-0000-000087110000}"/>
    <cellStyle name="Normal 5 6 3 2 3 2 2" xfId="4536" xr:uid="{00000000-0005-0000-0000-000088110000}"/>
    <cellStyle name="Normal 5 6 3 2 3 2 3" xfId="3321" xr:uid="{00000000-0005-0000-0000-000089110000}"/>
    <cellStyle name="Normal 5 6 3 2 3 3" xfId="1960" xr:uid="{00000000-0005-0000-0000-00008A110000}"/>
    <cellStyle name="Normal 5 6 3 2 3 3 2" xfId="5325" xr:uid="{00000000-0005-0000-0000-00008B110000}"/>
    <cellStyle name="Normal 5 6 3 2 3 4" xfId="3866" xr:uid="{00000000-0005-0000-0000-00008C110000}"/>
    <cellStyle name="Normal 5 6 3 2 3 5" xfId="2653" xr:uid="{00000000-0005-0000-0000-00008D110000}"/>
    <cellStyle name="Normal 5 6 3 2 4" xfId="871" xr:uid="{00000000-0005-0000-0000-00008E110000}"/>
    <cellStyle name="Normal 5 6 3 2 4 2" xfId="4236" xr:uid="{00000000-0005-0000-0000-00008F110000}"/>
    <cellStyle name="Normal 5 6 3 2 4 3" xfId="3318" xr:uid="{00000000-0005-0000-0000-000090110000}"/>
    <cellStyle name="Normal 5 6 3 2 5" xfId="1961" xr:uid="{00000000-0005-0000-0000-000091110000}"/>
    <cellStyle name="Normal 5 6 3 2 5 2" xfId="5326" xr:uid="{00000000-0005-0000-0000-000092110000}"/>
    <cellStyle name="Normal 5 6 3 2 6" xfId="3566" xr:uid="{00000000-0005-0000-0000-000093110000}"/>
    <cellStyle name="Normal 5 6 3 2 7" xfId="2650" xr:uid="{00000000-0005-0000-0000-000094110000}"/>
    <cellStyle name="Normal 5 6 3 3" xfId="273" xr:uid="{00000000-0005-0000-0000-000095110000}"/>
    <cellStyle name="Normal 5 6 3 3 2" xfId="573" xr:uid="{00000000-0005-0000-0000-000096110000}"/>
    <cellStyle name="Normal 5 6 3 3 2 2" xfId="1246" xr:uid="{00000000-0005-0000-0000-000097110000}"/>
    <cellStyle name="Normal 5 6 3 3 2 2 2" xfId="4611" xr:uid="{00000000-0005-0000-0000-000098110000}"/>
    <cellStyle name="Normal 5 6 3 3 2 2 3" xfId="3323" xr:uid="{00000000-0005-0000-0000-000099110000}"/>
    <cellStyle name="Normal 5 6 3 3 2 3" xfId="1962" xr:uid="{00000000-0005-0000-0000-00009A110000}"/>
    <cellStyle name="Normal 5 6 3 3 2 3 2" xfId="5327" xr:uid="{00000000-0005-0000-0000-00009B110000}"/>
    <cellStyle name="Normal 5 6 3 3 2 4" xfId="3941" xr:uid="{00000000-0005-0000-0000-00009C110000}"/>
    <cellStyle name="Normal 5 6 3 3 2 5" xfId="2655" xr:uid="{00000000-0005-0000-0000-00009D110000}"/>
    <cellStyle name="Normal 5 6 3 3 3" xfId="946" xr:uid="{00000000-0005-0000-0000-00009E110000}"/>
    <cellStyle name="Normal 5 6 3 3 3 2" xfId="4311" xr:uid="{00000000-0005-0000-0000-00009F110000}"/>
    <cellStyle name="Normal 5 6 3 3 3 3" xfId="3322" xr:uid="{00000000-0005-0000-0000-0000A0110000}"/>
    <cellStyle name="Normal 5 6 3 3 4" xfId="1963" xr:uid="{00000000-0005-0000-0000-0000A1110000}"/>
    <cellStyle name="Normal 5 6 3 3 4 2" xfId="5328" xr:uid="{00000000-0005-0000-0000-0000A2110000}"/>
    <cellStyle name="Normal 5 6 3 3 5" xfId="3641" xr:uid="{00000000-0005-0000-0000-0000A3110000}"/>
    <cellStyle name="Normal 5 6 3 3 6" xfId="2654" xr:uid="{00000000-0005-0000-0000-0000A4110000}"/>
    <cellStyle name="Normal 5 6 3 4" xfId="423" xr:uid="{00000000-0005-0000-0000-0000A5110000}"/>
    <cellStyle name="Normal 5 6 3 4 2" xfId="1096" xr:uid="{00000000-0005-0000-0000-0000A6110000}"/>
    <cellStyle name="Normal 5 6 3 4 2 2" xfId="4461" xr:uid="{00000000-0005-0000-0000-0000A7110000}"/>
    <cellStyle name="Normal 5 6 3 4 2 3" xfId="3324" xr:uid="{00000000-0005-0000-0000-0000A8110000}"/>
    <cellStyle name="Normal 5 6 3 4 3" xfId="1964" xr:uid="{00000000-0005-0000-0000-0000A9110000}"/>
    <cellStyle name="Normal 5 6 3 4 3 2" xfId="5329" xr:uid="{00000000-0005-0000-0000-0000AA110000}"/>
    <cellStyle name="Normal 5 6 3 4 4" xfId="3791" xr:uid="{00000000-0005-0000-0000-0000AB110000}"/>
    <cellStyle name="Normal 5 6 3 4 5" xfId="2656" xr:uid="{00000000-0005-0000-0000-0000AC110000}"/>
    <cellStyle name="Normal 5 6 3 5" xfId="709" xr:uid="{00000000-0005-0000-0000-0000AD110000}"/>
    <cellStyle name="Normal 5 6 3 5 2" xfId="1382" xr:uid="{00000000-0005-0000-0000-0000AE110000}"/>
    <cellStyle name="Normal 5 6 3 5 2 2" xfId="4747" xr:uid="{00000000-0005-0000-0000-0000AF110000}"/>
    <cellStyle name="Normal 5 6 3 5 2 3" xfId="3325" xr:uid="{00000000-0005-0000-0000-0000B0110000}"/>
    <cellStyle name="Normal 5 6 3 5 3" xfId="1965" xr:uid="{00000000-0005-0000-0000-0000B1110000}"/>
    <cellStyle name="Normal 5 6 3 5 3 2" xfId="5330" xr:uid="{00000000-0005-0000-0000-0000B2110000}"/>
    <cellStyle name="Normal 5 6 3 5 4" xfId="4077" xr:uid="{00000000-0005-0000-0000-0000B3110000}"/>
    <cellStyle name="Normal 5 6 3 5 5" xfId="2657" xr:uid="{00000000-0005-0000-0000-0000B4110000}"/>
    <cellStyle name="Normal 5 6 3 6" xfId="796" xr:uid="{00000000-0005-0000-0000-0000B5110000}"/>
    <cellStyle name="Normal 5 6 3 6 2" xfId="4161" xr:uid="{00000000-0005-0000-0000-0000B6110000}"/>
    <cellStyle name="Normal 5 6 3 6 3" xfId="2809" xr:uid="{00000000-0005-0000-0000-0000B7110000}"/>
    <cellStyle name="Normal 5 6 3 7" xfId="1966" xr:uid="{00000000-0005-0000-0000-0000B8110000}"/>
    <cellStyle name="Normal 5 6 3 7 2" xfId="5331" xr:uid="{00000000-0005-0000-0000-0000B9110000}"/>
    <cellStyle name="Normal 5 6 3 8" xfId="3491" xr:uid="{00000000-0005-0000-0000-0000BA110000}"/>
    <cellStyle name="Normal 5 6 3 9" xfId="2138" xr:uid="{00000000-0005-0000-0000-0000BB110000}"/>
    <cellStyle name="Normal 5 6 4" xfId="164" xr:uid="{00000000-0005-0000-0000-0000BC110000}"/>
    <cellStyle name="Normal 5 6 4 2" xfId="314" xr:uid="{00000000-0005-0000-0000-0000BD110000}"/>
    <cellStyle name="Normal 5 6 4 2 2" xfId="614" xr:uid="{00000000-0005-0000-0000-0000BE110000}"/>
    <cellStyle name="Normal 5 6 4 2 2 2" xfId="1287" xr:uid="{00000000-0005-0000-0000-0000BF110000}"/>
    <cellStyle name="Normal 5 6 4 2 2 2 2" xfId="4652" xr:uid="{00000000-0005-0000-0000-0000C0110000}"/>
    <cellStyle name="Normal 5 6 4 2 2 2 3" xfId="3328" xr:uid="{00000000-0005-0000-0000-0000C1110000}"/>
    <cellStyle name="Normal 5 6 4 2 2 3" xfId="1967" xr:uid="{00000000-0005-0000-0000-0000C2110000}"/>
    <cellStyle name="Normal 5 6 4 2 2 3 2" xfId="5332" xr:uid="{00000000-0005-0000-0000-0000C3110000}"/>
    <cellStyle name="Normal 5 6 4 2 2 4" xfId="3982" xr:uid="{00000000-0005-0000-0000-0000C4110000}"/>
    <cellStyle name="Normal 5 6 4 2 2 5" xfId="2660" xr:uid="{00000000-0005-0000-0000-0000C5110000}"/>
    <cellStyle name="Normal 5 6 4 2 3" xfId="987" xr:uid="{00000000-0005-0000-0000-0000C6110000}"/>
    <cellStyle name="Normal 5 6 4 2 3 2" xfId="4352" xr:uid="{00000000-0005-0000-0000-0000C7110000}"/>
    <cellStyle name="Normal 5 6 4 2 3 3" xfId="3327" xr:uid="{00000000-0005-0000-0000-0000C8110000}"/>
    <cellStyle name="Normal 5 6 4 2 4" xfId="1968" xr:uid="{00000000-0005-0000-0000-0000C9110000}"/>
    <cellStyle name="Normal 5 6 4 2 4 2" xfId="5333" xr:uid="{00000000-0005-0000-0000-0000CA110000}"/>
    <cellStyle name="Normal 5 6 4 2 5" xfId="3682" xr:uid="{00000000-0005-0000-0000-0000CB110000}"/>
    <cellStyle name="Normal 5 6 4 2 6" xfId="2659" xr:uid="{00000000-0005-0000-0000-0000CC110000}"/>
    <cellStyle name="Normal 5 6 4 3" xfId="464" xr:uid="{00000000-0005-0000-0000-0000CD110000}"/>
    <cellStyle name="Normal 5 6 4 3 2" xfId="1137" xr:uid="{00000000-0005-0000-0000-0000CE110000}"/>
    <cellStyle name="Normal 5 6 4 3 2 2" xfId="4502" xr:uid="{00000000-0005-0000-0000-0000CF110000}"/>
    <cellStyle name="Normal 5 6 4 3 2 3" xfId="3329" xr:uid="{00000000-0005-0000-0000-0000D0110000}"/>
    <cellStyle name="Normal 5 6 4 3 3" xfId="1969" xr:uid="{00000000-0005-0000-0000-0000D1110000}"/>
    <cellStyle name="Normal 5 6 4 3 3 2" xfId="5334" xr:uid="{00000000-0005-0000-0000-0000D2110000}"/>
    <cellStyle name="Normal 5 6 4 3 4" xfId="3832" xr:uid="{00000000-0005-0000-0000-0000D3110000}"/>
    <cellStyle name="Normal 5 6 4 3 5" xfId="2661" xr:uid="{00000000-0005-0000-0000-0000D4110000}"/>
    <cellStyle name="Normal 5 6 4 4" xfId="837" xr:uid="{00000000-0005-0000-0000-0000D5110000}"/>
    <cellStyle name="Normal 5 6 4 4 2" xfId="4202" xr:uid="{00000000-0005-0000-0000-0000D6110000}"/>
    <cellStyle name="Normal 5 6 4 4 3" xfId="3326" xr:uid="{00000000-0005-0000-0000-0000D7110000}"/>
    <cellStyle name="Normal 5 6 4 5" xfId="1970" xr:uid="{00000000-0005-0000-0000-0000D8110000}"/>
    <cellStyle name="Normal 5 6 4 5 2" xfId="5335" xr:uid="{00000000-0005-0000-0000-0000D9110000}"/>
    <cellStyle name="Normal 5 6 4 6" xfId="3532" xr:uid="{00000000-0005-0000-0000-0000DA110000}"/>
    <cellStyle name="Normal 5 6 4 7" xfId="2658" xr:uid="{00000000-0005-0000-0000-0000DB110000}"/>
    <cellStyle name="Normal 5 6 5" xfId="239" xr:uid="{00000000-0005-0000-0000-0000DC110000}"/>
    <cellStyle name="Normal 5 6 5 2" xfId="539" xr:uid="{00000000-0005-0000-0000-0000DD110000}"/>
    <cellStyle name="Normal 5 6 5 2 2" xfId="1212" xr:uid="{00000000-0005-0000-0000-0000DE110000}"/>
    <cellStyle name="Normal 5 6 5 2 2 2" xfId="4577" xr:uid="{00000000-0005-0000-0000-0000DF110000}"/>
    <cellStyle name="Normal 5 6 5 2 2 3" xfId="3331" xr:uid="{00000000-0005-0000-0000-0000E0110000}"/>
    <cellStyle name="Normal 5 6 5 2 3" xfId="1971" xr:uid="{00000000-0005-0000-0000-0000E1110000}"/>
    <cellStyle name="Normal 5 6 5 2 3 2" xfId="5336" xr:uid="{00000000-0005-0000-0000-0000E2110000}"/>
    <cellStyle name="Normal 5 6 5 2 4" xfId="3907" xr:uid="{00000000-0005-0000-0000-0000E3110000}"/>
    <cellStyle name="Normal 5 6 5 2 5" xfId="2663" xr:uid="{00000000-0005-0000-0000-0000E4110000}"/>
    <cellStyle name="Normal 5 6 5 3" xfId="912" xr:uid="{00000000-0005-0000-0000-0000E5110000}"/>
    <cellStyle name="Normal 5 6 5 3 2" xfId="4277" xr:uid="{00000000-0005-0000-0000-0000E6110000}"/>
    <cellStyle name="Normal 5 6 5 3 3" xfId="3330" xr:uid="{00000000-0005-0000-0000-0000E7110000}"/>
    <cellStyle name="Normal 5 6 5 4" xfId="1972" xr:uid="{00000000-0005-0000-0000-0000E8110000}"/>
    <cellStyle name="Normal 5 6 5 4 2" xfId="5337" xr:uid="{00000000-0005-0000-0000-0000E9110000}"/>
    <cellStyle name="Normal 5 6 5 5" xfId="3607" xr:uid="{00000000-0005-0000-0000-0000EA110000}"/>
    <cellStyle name="Normal 5 6 5 6" xfId="2662" xr:uid="{00000000-0005-0000-0000-0000EB110000}"/>
    <cellStyle name="Normal 5 6 6" xfId="389" xr:uid="{00000000-0005-0000-0000-0000EC110000}"/>
    <cellStyle name="Normal 5 6 6 2" xfId="1062" xr:uid="{00000000-0005-0000-0000-0000ED110000}"/>
    <cellStyle name="Normal 5 6 6 2 2" xfId="4427" xr:uid="{00000000-0005-0000-0000-0000EE110000}"/>
    <cellStyle name="Normal 5 6 6 2 3" xfId="3332" xr:uid="{00000000-0005-0000-0000-0000EF110000}"/>
    <cellStyle name="Normal 5 6 6 3" xfId="1973" xr:uid="{00000000-0005-0000-0000-0000F0110000}"/>
    <cellStyle name="Normal 5 6 6 3 2" xfId="5338" xr:uid="{00000000-0005-0000-0000-0000F1110000}"/>
    <cellStyle name="Normal 5 6 6 4" xfId="3757" xr:uid="{00000000-0005-0000-0000-0000F2110000}"/>
    <cellStyle name="Normal 5 6 6 5" xfId="2664" xr:uid="{00000000-0005-0000-0000-0000F3110000}"/>
    <cellStyle name="Normal 5 6 7" xfId="675" xr:uid="{00000000-0005-0000-0000-0000F4110000}"/>
    <cellStyle name="Normal 5 6 7 2" xfId="721" xr:uid="{00000000-0005-0000-0000-0000F5110000}"/>
    <cellStyle name="Normal 5 6 7 2 2" xfId="1394" xr:uid="{00000000-0005-0000-0000-0000F6110000}"/>
    <cellStyle name="Normal 5 6 7 2 2 2" xfId="4759" xr:uid="{00000000-0005-0000-0000-0000F7110000}"/>
    <cellStyle name="Normal 5 6 7 2 2 3" xfId="3334" xr:uid="{00000000-0005-0000-0000-0000F8110000}"/>
    <cellStyle name="Normal 5 6 7 2 3" xfId="1974" xr:uid="{00000000-0005-0000-0000-0000F9110000}"/>
    <cellStyle name="Normal 5 6 7 2 3 2" xfId="5339" xr:uid="{00000000-0005-0000-0000-0000FA110000}"/>
    <cellStyle name="Normal 5 6 7 2 4" xfId="4089" xr:uid="{00000000-0005-0000-0000-0000FB110000}"/>
    <cellStyle name="Normal 5 6 7 2 5" xfId="2666" xr:uid="{00000000-0005-0000-0000-0000FC110000}"/>
    <cellStyle name="Normal 5 6 7 3" xfId="1348" xr:uid="{00000000-0005-0000-0000-0000FD110000}"/>
    <cellStyle name="Normal 5 6 7 3 2" xfId="4713" xr:uid="{00000000-0005-0000-0000-0000FE110000}"/>
    <cellStyle name="Normal 5 6 7 3 3" xfId="3333" xr:uid="{00000000-0005-0000-0000-0000FF110000}"/>
    <cellStyle name="Normal 5 6 7 4" xfId="1975" xr:uid="{00000000-0005-0000-0000-000000120000}"/>
    <cellStyle name="Normal 5 6 7 4 2" xfId="5340" xr:uid="{00000000-0005-0000-0000-000001120000}"/>
    <cellStyle name="Normal 5 6 7 5" xfId="4043" xr:uid="{00000000-0005-0000-0000-000002120000}"/>
    <cellStyle name="Normal 5 6 7 6" xfId="2665" xr:uid="{00000000-0005-0000-0000-000003120000}"/>
    <cellStyle name="Normal 5 6 8" xfId="762" xr:uid="{00000000-0005-0000-0000-000004120000}"/>
    <cellStyle name="Normal 5 6 8 2" xfId="4127" xr:uid="{00000000-0005-0000-0000-000005120000}"/>
    <cellStyle name="Normal 5 6 8 3" xfId="2775" xr:uid="{00000000-0005-0000-0000-000006120000}"/>
    <cellStyle name="Normal 5 6 9" xfId="1976" xr:uid="{00000000-0005-0000-0000-000007120000}"/>
    <cellStyle name="Normal 5 6 9 2" xfId="5341" xr:uid="{00000000-0005-0000-0000-000008120000}"/>
    <cellStyle name="Normal 5 7" xfId="96" xr:uid="{00000000-0005-0000-0000-000009120000}"/>
    <cellStyle name="Normal 5 7 10" xfId="2111" xr:uid="{00000000-0005-0000-0000-00000A120000}"/>
    <cellStyle name="Normal 5 7 2" xfId="122" xr:uid="{00000000-0005-0000-0000-00000B120000}"/>
    <cellStyle name="Normal 5 7 2 2" xfId="197" xr:uid="{00000000-0005-0000-0000-00000C120000}"/>
    <cellStyle name="Normal 5 7 2 2 2" xfId="347" xr:uid="{00000000-0005-0000-0000-00000D120000}"/>
    <cellStyle name="Normal 5 7 2 2 2 2" xfId="647" xr:uid="{00000000-0005-0000-0000-00000E120000}"/>
    <cellStyle name="Normal 5 7 2 2 2 2 2" xfId="1320" xr:uid="{00000000-0005-0000-0000-00000F120000}"/>
    <cellStyle name="Normal 5 7 2 2 2 2 2 2" xfId="4685" xr:uid="{00000000-0005-0000-0000-000010120000}"/>
    <cellStyle name="Normal 5 7 2 2 2 2 2 3" xfId="3337" xr:uid="{00000000-0005-0000-0000-000011120000}"/>
    <cellStyle name="Normal 5 7 2 2 2 2 3" xfId="1977" xr:uid="{00000000-0005-0000-0000-000012120000}"/>
    <cellStyle name="Normal 5 7 2 2 2 2 3 2" xfId="5342" xr:uid="{00000000-0005-0000-0000-000013120000}"/>
    <cellStyle name="Normal 5 7 2 2 2 2 4" xfId="4015" xr:uid="{00000000-0005-0000-0000-000014120000}"/>
    <cellStyle name="Normal 5 7 2 2 2 2 5" xfId="2669" xr:uid="{00000000-0005-0000-0000-000015120000}"/>
    <cellStyle name="Normal 5 7 2 2 2 3" xfId="1020" xr:uid="{00000000-0005-0000-0000-000016120000}"/>
    <cellStyle name="Normal 5 7 2 2 2 3 2" xfId="4385" xr:uid="{00000000-0005-0000-0000-000017120000}"/>
    <cellStyle name="Normal 5 7 2 2 2 3 3" xfId="3336" xr:uid="{00000000-0005-0000-0000-000018120000}"/>
    <cellStyle name="Normal 5 7 2 2 2 4" xfId="1978" xr:uid="{00000000-0005-0000-0000-000019120000}"/>
    <cellStyle name="Normal 5 7 2 2 2 4 2" xfId="5343" xr:uid="{00000000-0005-0000-0000-00001A120000}"/>
    <cellStyle name="Normal 5 7 2 2 2 5" xfId="3715" xr:uid="{00000000-0005-0000-0000-00001B120000}"/>
    <cellStyle name="Normal 5 7 2 2 2 6" xfId="2668" xr:uid="{00000000-0005-0000-0000-00001C120000}"/>
    <cellStyle name="Normal 5 7 2 2 3" xfId="497" xr:uid="{00000000-0005-0000-0000-00001D120000}"/>
    <cellStyle name="Normal 5 7 2 2 3 2" xfId="1170" xr:uid="{00000000-0005-0000-0000-00001E120000}"/>
    <cellStyle name="Normal 5 7 2 2 3 2 2" xfId="4535" xr:uid="{00000000-0005-0000-0000-00001F120000}"/>
    <cellStyle name="Normal 5 7 2 2 3 2 3" xfId="3338" xr:uid="{00000000-0005-0000-0000-000020120000}"/>
    <cellStyle name="Normal 5 7 2 2 3 3" xfId="1979" xr:uid="{00000000-0005-0000-0000-000021120000}"/>
    <cellStyle name="Normal 5 7 2 2 3 3 2" xfId="5344" xr:uid="{00000000-0005-0000-0000-000022120000}"/>
    <cellStyle name="Normal 5 7 2 2 3 4" xfId="3865" xr:uid="{00000000-0005-0000-0000-000023120000}"/>
    <cellStyle name="Normal 5 7 2 2 3 5" xfId="2670" xr:uid="{00000000-0005-0000-0000-000024120000}"/>
    <cellStyle name="Normal 5 7 2 2 4" xfId="870" xr:uid="{00000000-0005-0000-0000-000025120000}"/>
    <cellStyle name="Normal 5 7 2 2 4 2" xfId="4235" xr:uid="{00000000-0005-0000-0000-000026120000}"/>
    <cellStyle name="Normal 5 7 2 2 4 3" xfId="3335" xr:uid="{00000000-0005-0000-0000-000027120000}"/>
    <cellStyle name="Normal 5 7 2 2 5" xfId="1980" xr:uid="{00000000-0005-0000-0000-000028120000}"/>
    <cellStyle name="Normal 5 7 2 2 5 2" xfId="5345" xr:uid="{00000000-0005-0000-0000-000029120000}"/>
    <cellStyle name="Normal 5 7 2 2 6" xfId="3565" xr:uid="{00000000-0005-0000-0000-00002A120000}"/>
    <cellStyle name="Normal 5 7 2 2 7" xfId="2667" xr:uid="{00000000-0005-0000-0000-00002B120000}"/>
    <cellStyle name="Normal 5 7 2 3" xfId="272" xr:uid="{00000000-0005-0000-0000-00002C120000}"/>
    <cellStyle name="Normal 5 7 2 3 2" xfId="572" xr:uid="{00000000-0005-0000-0000-00002D120000}"/>
    <cellStyle name="Normal 5 7 2 3 2 2" xfId="1245" xr:uid="{00000000-0005-0000-0000-00002E120000}"/>
    <cellStyle name="Normal 5 7 2 3 2 2 2" xfId="4610" xr:uid="{00000000-0005-0000-0000-00002F120000}"/>
    <cellStyle name="Normal 5 7 2 3 2 2 3" xfId="3340" xr:uid="{00000000-0005-0000-0000-000030120000}"/>
    <cellStyle name="Normal 5 7 2 3 2 3" xfId="1981" xr:uid="{00000000-0005-0000-0000-000031120000}"/>
    <cellStyle name="Normal 5 7 2 3 2 3 2" xfId="5346" xr:uid="{00000000-0005-0000-0000-000032120000}"/>
    <cellStyle name="Normal 5 7 2 3 2 4" xfId="3940" xr:uid="{00000000-0005-0000-0000-000033120000}"/>
    <cellStyle name="Normal 5 7 2 3 2 5" xfId="2672" xr:uid="{00000000-0005-0000-0000-000034120000}"/>
    <cellStyle name="Normal 5 7 2 3 3" xfId="945" xr:uid="{00000000-0005-0000-0000-000035120000}"/>
    <cellStyle name="Normal 5 7 2 3 3 2" xfId="4310" xr:uid="{00000000-0005-0000-0000-000036120000}"/>
    <cellStyle name="Normal 5 7 2 3 3 3" xfId="3339" xr:uid="{00000000-0005-0000-0000-000037120000}"/>
    <cellStyle name="Normal 5 7 2 3 4" xfId="1982" xr:uid="{00000000-0005-0000-0000-000038120000}"/>
    <cellStyle name="Normal 5 7 2 3 4 2" xfId="5347" xr:uid="{00000000-0005-0000-0000-000039120000}"/>
    <cellStyle name="Normal 5 7 2 3 5" xfId="3640" xr:uid="{00000000-0005-0000-0000-00003A120000}"/>
    <cellStyle name="Normal 5 7 2 3 6" xfId="2671" xr:uid="{00000000-0005-0000-0000-00003B120000}"/>
    <cellStyle name="Normal 5 7 2 4" xfId="422" xr:uid="{00000000-0005-0000-0000-00003C120000}"/>
    <cellStyle name="Normal 5 7 2 4 2" xfId="1095" xr:uid="{00000000-0005-0000-0000-00003D120000}"/>
    <cellStyle name="Normal 5 7 2 4 2 2" xfId="4460" xr:uid="{00000000-0005-0000-0000-00003E120000}"/>
    <cellStyle name="Normal 5 7 2 4 2 3" xfId="3341" xr:uid="{00000000-0005-0000-0000-00003F120000}"/>
    <cellStyle name="Normal 5 7 2 4 3" xfId="1983" xr:uid="{00000000-0005-0000-0000-000040120000}"/>
    <cellStyle name="Normal 5 7 2 4 3 2" xfId="5348" xr:uid="{00000000-0005-0000-0000-000041120000}"/>
    <cellStyle name="Normal 5 7 2 4 4" xfId="3790" xr:uid="{00000000-0005-0000-0000-000042120000}"/>
    <cellStyle name="Normal 5 7 2 4 5" xfId="2673" xr:uid="{00000000-0005-0000-0000-000043120000}"/>
    <cellStyle name="Normal 5 7 2 5" xfId="708" xr:uid="{00000000-0005-0000-0000-000044120000}"/>
    <cellStyle name="Normal 5 7 2 5 2" xfId="1381" xr:uid="{00000000-0005-0000-0000-000045120000}"/>
    <cellStyle name="Normal 5 7 2 5 2 2" xfId="4746" xr:uid="{00000000-0005-0000-0000-000046120000}"/>
    <cellStyle name="Normal 5 7 2 5 2 3" xfId="3342" xr:uid="{00000000-0005-0000-0000-000047120000}"/>
    <cellStyle name="Normal 5 7 2 5 3" xfId="1984" xr:uid="{00000000-0005-0000-0000-000048120000}"/>
    <cellStyle name="Normal 5 7 2 5 3 2" xfId="5349" xr:uid="{00000000-0005-0000-0000-000049120000}"/>
    <cellStyle name="Normal 5 7 2 5 4" xfId="4076" xr:uid="{00000000-0005-0000-0000-00004A120000}"/>
    <cellStyle name="Normal 5 7 2 5 5" xfId="2674" xr:uid="{00000000-0005-0000-0000-00004B120000}"/>
    <cellStyle name="Normal 5 7 2 6" xfId="795" xr:uid="{00000000-0005-0000-0000-00004C120000}"/>
    <cellStyle name="Normal 5 7 2 6 2" xfId="4160" xr:uid="{00000000-0005-0000-0000-00004D120000}"/>
    <cellStyle name="Normal 5 7 2 6 3" xfId="2808" xr:uid="{00000000-0005-0000-0000-00004E120000}"/>
    <cellStyle name="Normal 5 7 2 7" xfId="1985" xr:uid="{00000000-0005-0000-0000-00004F120000}"/>
    <cellStyle name="Normal 5 7 2 7 2" xfId="5350" xr:uid="{00000000-0005-0000-0000-000050120000}"/>
    <cellStyle name="Normal 5 7 2 8" xfId="3490" xr:uid="{00000000-0005-0000-0000-000051120000}"/>
    <cellStyle name="Normal 5 7 2 9" xfId="2137" xr:uid="{00000000-0005-0000-0000-000052120000}"/>
    <cellStyle name="Normal 5 7 3" xfId="171" xr:uid="{00000000-0005-0000-0000-000053120000}"/>
    <cellStyle name="Normal 5 7 3 2" xfId="321" xr:uid="{00000000-0005-0000-0000-000054120000}"/>
    <cellStyle name="Normal 5 7 3 2 2" xfId="621" xr:uid="{00000000-0005-0000-0000-000055120000}"/>
    <cellStyle name="Normal 5 7 3 2 2 2" xfId="1294" xr:uid="{00000000-0005-0000-0000-000056120000}"/>
    <cellStyle name="Normal 5 7 3 2 2 2 2" xfId="4659" xr:uid="{00000000-0005-0000-0000-000057120000}"/>
    <cellStyle name="Normal 5 7 3 2 2 2 3" xfId="3345" xr:uid="{00000000-0005-0000-0000-000058120000}"/>
    <cellStyle name="Normal 5 7 3 2 2 3" xfId="1986" xr:uid="{00000000-0005-0000-0000-000059120000}"/>
    <cellStyle name="Normal 5 7 3 2 2 3 2" xfId="5351" xr:uid="{00000000-0005-0000-0000-00005A120000}"/>
    <cellStyle name="Normal 5 7 3 2 2 4" xfId="3989" xr:uid="{00000000-0005-0000-0000-00005B120000}"/>
    <cellStyle name="Normal 5 7 3 2 2 5" xfId="2677" xr:uid="{00000000-0005-0000-0000-00005C120000}"/>
    <cellStyle name="Normal 5 7 3 2 3" xfId="994" xr:uid="{00000000-0005-0000-0000-00005D120000}"/>
    <cellStyle name="Normal 5 7 3 2 3 2" xfId="4359" xr:uid="{00000000-0005-0000-0000-00005E120000}"/>
    <cellStyle name="Normal 5 7 3 2 3 3" xfId="3344" xr:uid="{00000000-0005-0000-0000-00005F120000}"/>
    <cellStyle name="Normal 5 7 3 2 4" xfId="1987" xr:uid="{00000000-0005-0000-0000-000060120000}"/>
    <cellStyle name="Normal 5 7 3 2 4 2" xfId="5352" xr:uid="{00000000-0005-0000-0000-000061120000}"/>
    <cellStyle name="Normal 5 7 3 2 5" xfId="3689" xr:uid="{00000000-0005-0000-0000-000062120000}"/>
    <cellStyle name="Normal 5 7 3 2 6" xfId="2676" xr:uid="{00000000-0005-0000-0000-000063120000}"/>
    <cellStyle name="Normal 5 7 3 3" xfId="471" xr:uid="{00000000-0005-0000-0000-000064120000}"/>
    <cellStyle name="Normal 5 7 3 3 2" xfId="1144" xr:uid="{00000000-0005-0000-0000-000065120000}"/>
    <cellStyle name="Normal 5 7 3 3 2 2" xfId="4509" xr:uid="{00000000-0005-0000-0000-000066120000}"/>
    <cellStyle name="Normal 5 7 3 3 2 3" xfId="3346" xr:uid="{00000000-0005-0000-0000-000067120000}"/>
    <cellStyle name="Normal 5 7 3 3 3" xfId="1988" xr:uid="{00000000-0005-0000-0000-000068120000}"/>
    <cellStyle name="Normal 5 7 3 3 3 2" xfId="5353" xr:uid="{00000000-0005-0000-0000-000069120000}"/>
    <cellStyle name="Normal 5 7 3 3 4" xfId="3839" xr:uid="{00000000-0005-0000-0000-00006A120000}"/>
    <cellStyle name="Normal 5 7 3 3 5" xfId="2678" xr:uid="{00000000-0005-0000-0000-00006B120000}"/>
    <cellStyle name="Normal 5 7 3 4" xfId="844" xr:uid="{00000000-0005-0000-0000-00006C120000}"/>
    <cellStyle name="Normal 5 7 3 4 2" xfId="4209" xr:uid="{00000000-0005-0000-0000-00006D120000}"/>
    <cellStyle name="Normal 5 7 3 4 3" xfId="3343" xr:uid="{00000000-0005-0000-0000-00006E120000}"/>
    <cellStyle name="Normal 5 7 3 5" xfId="1989" xr:uid="{00000000-0005-0000-0000-00006F120000}"/>
    <cellStyle name="Normal 5 7 3 5 2" xfId="5354" xr:uid="{00000000-0005-0000-0000-000070120000}"/>
    <cellStyle name="Normal 5 7 3 6" xfId="3539" xr:uid="{00000000-0005-0000-0000-000071120000}"/>
    <cellStyle name="Normal 5 7 3 7" xfId="2675" xr:uid="{00000000-0005-0000-0000-000072120000}"/>
    <cellStyle name="Normal 5 7 4" xfId="246" xr:uid="{00000000-0005-0000-0000-000073120000}"/>
    <cellStyle name="Normal 5 7 4 2" xfId="546" xr:uid="{00000000-0005-0000-0000-000074120000}"/>
    <cellStyle name="Normal 5 7 4 2 2" xfId="1219" xr:uid="{00000000-0005-0000-0000-000075120000}"/>
    <cellStyle name="Normal 5 7 4 2 2 2" xfId="4584" xr:uid="{00000000-0005-0000-0000-000076120000}"/>
    <cellStyle name="Normal 5 7 4 2 2 3" xfId="3348" xr:uid="{00000000-0005-0000-0000-000077120000}"/>
    <cellStyle name="Normal 5 7 4 2 3" xfId="1990" xr:uid="{00000000-0005-0000-0000-000078120000}"/>
    <cellStyle name="Normal 5 7 4 2 3 2" xfId="5355" xr:uid="{00000000-0005-0000-0000-000079120000}"/>
    <cellStyle name="Normal 5 7 4 2 4" xfId="3914" xr:uid="{00000000-0005-0000-0000-00007A120000}"/>
    <cellStyle name="Normal 5 7 4 2 5" xfId="2680" xr:uid="{00000000-0005-0000-0000-00007B120000}"/>
    <cellStyle name="Normal 5 7 4 3" xfId="919" xr:uid="{00000000-0005-0000-0000-00007C120000}"/>
    <cellStyle name="Normal 5 7 4 3 2" xfId="4284" xr:uid="{00000000-0005-0000-0000-00007D120000}"/>
    <cellStyle name="Normal 5 7 4 3 3" xfId="3347" xr:uid="{00000000-0005-0000-0000-00007E120000}"/>
    <cellStyle name="Normal 5 7 4 4" xfId="1991" xr:uid="{00000000-0005-0000-0000-00007F120000}"/>
    <cellStyle name="Normal 5 7 4 4 2" xfId="5356" xr:uid="{00000000-0005-0000-0000-000080120000}"/>
    <cellStyle name="Normal 5 7 4 5" xfId="3614" xr:uid="{00000000-0005-0000-0000-000081120000}"/>
    <cellStyle name="Normal 5 7 4 6" xfId="2679" xr:uid="{00000000-0005-0000-0000-000082120000}"/>
    <cellStyle name="Normal 5 7 5" xfId="396" xr:uid="{00000000-0005-0000-0000-000083120000}"/>
    <cellStyle name="Normal 5 7 5 2" xfId="1069" xr:uid="{00000000-0005-0000-0000-000084120000}"/>
    <cellStyle name="Normal 5 7 5 2 2" xfId="4434" xr:uid="{00000000-0005-0000-0000-000085120000}"/>
    <cellStyle name="Normal 5 7 5 2 3" xfId="3349" xr:uid="{00000000-0005-0000-0000-000086120000}"/>
    <cellStyle name="Normal 5 7 5 3" xfId="1992" xr:uid="{00000000-0005-0000-0000-000087120000}"/>
    <cellStyle name="Normal 5 7 5 3 2" xfId="5357" xr:uid="{00000000-0005-0000-0000-000088120000}"/>
    <cellStyle name="Normal 5 7 5 4" xfId="3764" xr:uid="{00000000-0005-0000-0000-000089120000}"/>
    <cellStyle name="Normal 5 7 5 5" xfId="2681" xr:uid="{00000000-0005-0000-0000-00008A120000}"/>
    <cellStyle name="Normal 5 7 6" xfId="682" xr:uid="{00000000-0005-0000-0000-00008B120000}"/>
    <cellStyle name="Normal 5 7 6 2" xfId="1355" xr:uid="{00000000-0005-0000-0000-00008C120000}"/>
    <cellStyle name="Normal 5 7 6 2 2" xfId="4720" xr:uid="{00000000-0005-0000-0000-00008D120000}"/>
    <cellStyle name="Normal 5 7 6 2 3" xfId="3350" xr:uid="{00000000-0005-0000-0000-00008E120000}"/>
    <cellStyle name="Normal 5 7 6 3" xfId="1993" xr:uid="{00000000-0005-0000-0000-00008F120000}"/>
    <cellStyle name="Normal 5 7 6 3 2" xfId="5358" xr:uid="{00000000-0005-0000-0000-000090120000}"/>
    <cellStyle name="Normal 5 7 6 4" xfId="4050" xr:uid="{00000000-0005-0000-0000-000091120000}"/>
    <cellStyle name="Normal 5 7 6 5" xfId="2682" xr:uid="{00000000-0005-0000-0000-000092120000}"/>
    <cellStyle name="Normal 5 7 7" xfId="769" xr:uid="{00000000-0005-0000-0000-000093120000}"/>
    <cellStyle name="Normal 5 7 7 2" xfId="4134" xr:uid="{00000000-0005-0000-0000-000094120000}"/>
    <cellStyle name="Normal 5 7 7 3" xfId="2782" xr:uid="{00000000-0005-0000-0000-000095120000}"/>
    <cellStyle name="Normal 5 7 8" xfId="1994" xr:uid="{00000000-0005-0000-0000-000096120000}"/>
    <cellStyle name="Normal 5 7 8 2" xfId="5359" xr:uid="{00000000-0005-0000-0000-000097120000}"/>
    <cellStyle name="Normal 5 7 9" xfId="3464" xr:uid="{00000000-0005-0000-0000-000098120000}"/>
    <cellStyle name="Normal 5 8" xfId="102" xr:uid="{00000000-0005-0000-0000-000099120000}"/>
    <cellStyle name="Normal 5 8 2" xfId="177" xr:uid="{00000000-0005-0000-0000-00009A120000}"/>
    <cellStyle name="Normal 5 8 2 2" xfId="327" xr:uid="{00000000-0005-0000-0000-00009B120000}"/>
    <cellStyle name="Normal 5 8 2 2 2" xfId="627" xr:uid="{00000000-0005-0000-0000-00009C120000}"/>
    <cellStyle name="Normal 5 8 2 2 2 2" xfId="1300" xr:uid="{00000000-0005-0000-0000-00009D120000}"/>
    <cellStyle name="Normal 5 8 2 2 2 2 2" xfId="4665" xr:uid="{00000000-0005-0000-0000-00009E120000}"/>
    <cellStyle name="Normal 5 8 2 2 2 2 3" xfId="3353" xr:uid="{00000000-0005-0000-0000-00009F120000}"/>
    <cellStyle name="Normal 5 8 2 2 2 3" xfId="1995" xr:uid="{00000000-0005-0000-0000-0000A0120000}"/>
    <cellStyle name="Normal 5 8 2 2 2 3 2" xfId="5360" xr:uid="{00000000-0005-0000-0000-0000A1120000}"/>
    <cellStyle name="Normal 5 8 2 2 2 4" xfId="3995" xr:uid="{00000000-0005-0000-0000-0000A2120000}"/>
    <cellStyle name="Normal 5 8 2 2 2 5" xfId="2685" xr:uid="{00000000-0005-0000-0000-0000A3120000}"/>
    <cellStyle name="Normal 5 8 2 2 3" xfId="1000" xr:uid="{00000000-0005-0000-0000-0000A4120000}"/>
    <cellStyle name="Normal 5 8 2 2 3 2" xfId="4365" xr:uid="{00000000-0005-0000-0000-0000A5120000}"/>
    <cellStyle name="Normal 5 8 2 2 3 3" xfId="3352" xr:uid="{00000000-0005-0000-0000-0000A6120000}"/>
    <cellStyle name="Normal 5 8 2 2 4" xfId="1996" xr:uid="{00000000-0005-0000-0000-0000A7120000}"/>
    <cellStyle name="Normal 5 8 2 2 4 2" xfId="5361" xr:uid="{00000000-0005-0000-0000-0000A8120000}"/>
    <cellStyle name="Normal 5 8 2 2 5" xfId="3695" xr:uid="{00000000-0005-0000-0000-0000A9120000}"/>
    <cellStyle name="Normal 5 8 2 2 6" xfId="2684" xr:uid="{00000000-0005-0000-0000-0000AA120000}"/>
    <cellStyle name="Normal 5 8 2 3" xfId="477" xr:uid="{00000000-0005-0000-0000-0000AB120000}"/>
    <cellStyle name="Normal 5 8 2 3 2" xfId="1150" xr:uid="{00000000-0005-0000-0000-0000AC120000}"/>
    <cellStyle name="Normal 5 8 2 3 2 2" xfId="4515" xr:uid="{00000000-0005-0000-0000-0000AD120000}"/>
    <cellStyle name="Normal 5 8 2 3 2 3" xfId="3354" xr:uid="{00000000-0005-0000-0000-0000AE120000}"/>
    <cellStyle name="Normal 5 8 2 3 3" xfId="1997" xr:uid="{00000000-0005-0000-0000-0000AF120000}"/>
    <cellStyle name="Normal 5 8 2 3 3 2" xfId="5362" xr:uid="{00000000-0005-0000-0000-0000B0120000}"/>
    <cellStyle name="Normal 5 8 2 3 4" xfId="3845" xr:uid="{00000000-0005-0000-0000-0000B1120000}"/>
    <cellStyle name="Normal 5 8 2 3 5" xfId="2686" xr:uid="{00000000-0005-0000-0000-0000B2120000}"/>
    <cellStyle name="Normal 5 8 2 4" xfId="850" xr:uid="{00000000-0005-0000-0000-0000B3120000}"/>
    <cellStyle name="Normal 5 8 2 4 2" xfId="4215" xr:uid="{00000000-0005-0000-0000-0000B4120000}"/>
    <cellStyle name="Normal 5 8 2 4 3" xfId="3351" xr:uid="{00000000-0005-0000-0000-0000B5120000}"/>
    <cellStyle name="Normal 5 8 2 5" xfId="1998" xr:uid="{00000000-0005-0000-0000-0000B6120000}"/>
    <cellStyle name="Normal 5 8 2 5 2" xfId="5363" xr:uid="{00000000-0005-0000-0000-0000B7120000}"/>
    <cellStyle name="Normal 5 8 2 6" xfId="3545" xr:uid="{00000000-0005-0000-0000-0000B8120000}"/>
    <cellStyle name="Normal 5 8 2 7" xfId="2683" xr:uid="{00000000-0005-0000-0000-0000B9120000}"/>
    <cellStyle name="Normal 5 8 3" xfId="252" xr:uid="{00000000-0005-0000-0000-0000BA120000}"/>
    <cellStyle name="Normal 5 8 3 2" xfId="552" xr:uid="{00000000-0005-0000-0000-0000BB120000}"/>
    <cellStyle name="Normal 5 8 3 2 2" xfId="1225" xr:uid="{00000000-0005-0000-0000-0000BC120000}"/>
    <cellStyle name="Normal 5 8 3 2 2 2" xfId="4590" xr:uid="{00000000-0005-0000-0000-0000BD120000}"/>
    <cellStyle name="Normal 5 8 3 2 2 3" xfId="3356" xr:uid="{00000000-0005-0000-0000-0000BE120000}"/>
    <cellStyle name="Normal 5 8 3 2 3" xfId="1999" xr:uid="{00000000-0005-0000-0000-0000BF120000}"/>
    <cellStyle name="Normal 5 8 3 2 3 2" xfId="5364" xr:uid="{00000000-0005-0000-0000-0000C0120000}"/>
    <cellStyle name="Normal 5 8 3 2 4" xfId="3920" xr:uid="{00000000-0005-0000-0000-0000C1120000}"/>
    <cellStyle name="Normal 5 8 3 2 5" xfId="2688" xr:uid="{00000000-0005-0000-0000-0000C2120000}"/>
    <cellStyle name="Normal 5 8 3 3" xfId="925" xr:uid="{00000000-0005-0000-0000-0000C3120000}"/>
    <cellStyle name="Normal 5 8 3 3 2" xfId="4290" xr:uid="{00000000-0005-0000-0000-0000C4120000}"/>
    <cellStyle name="Normal 5 8 3 3 3" xfId="3355" xr:uid="{00000000-0005-0000-0000-0000C5120000}"/>
    <cellStyle name="Normal 5 8 3 4" xfId="2000" xr:uid="{00000000-0005-0000-0000-0000C6120000}"/>
    <cellStyle name="Normal 5 8 3 4 2" xfId="5365" xr:uid="{00000000-0005-0000-0000-0000C7120000}"/>
    <cellStyle name="Normal 5 8 3 5" xfId="3620" xr:uid="{00000000-0005-0000-0000-0000C8120000}"/>
    <cellStyle name="Normal 5 8 3 6" xfId="2687" xr:uid="{00000000-0005-0000-0000-0000C9120000}"/>
    <cellStyle name="Normal 5 8 4" xfId="402" xr:uid="{00000000-0005-0000-0000-0000CA120000}"/>
    <cellStyle name="Normal 5 8 4 2" xfId="1075" xr:uid="{00000000-0005-0000-0000-0000CB120000}"/>
    <cellStyle name="Normal 5 8 4 2 2" xfId="4440" xr:uid="{00000000-0005-0000-0000-0000CC120000}"/>
    <cellStyle name="Normal 5 8 4 2 3" xfId="3357" xr:uid="{00000000-0005-0000-0000-0000CD120000}"/>
    <cellStyle name="Normal 5 8 4 3" xfId="2001" xr:uid="{00000000-0005-0000-0000-0000CE120000}"/>
    <cellStyle name="Normal 5 8 4 3 2" xfId="5366" xr:uid="{00000000-0005-0000-0000-0000CF120000}"/>
    <cellStyle name="Normal 5 8 4 4" xfId="3770" xr:uid="{00000000-0005-0000-0000-0000D0120000}"/>
    <cellStyle name="Normal 5 8 4 5" xfId="2689" xr:uid="{00000000-0005-0000-0000-0000D1120000}"/>
    <cellStyle name="Normal 5 8 5" xfId="688" xr:uid="{00000000-0005-0000-0000-0000D2120000}"/>
    <cellStyle name="Normal 5 8 5 2" xfId="1361" xr:uid="{00000000-0005-0000-0000-0000D3120000}"/>
    <cellStyle name="Normal 5 8 5 2 2" xfId="4726" xr:uid="{00000000-0005-0000-0000-0000D4120000}"/>
    <cellStyle name="Normal 5 8 5 2 3" xfId="3358" xr:uid="{00000000-0005-0000-0000-0000D5120000}"/>
    <cellStyle name="Normal 5 8 5 3" xfId="2002" xr:uid="{00000000-0005-0000-0000-0000D6120000}"/>
    <cellStyle name="Normal 5 8 5 3 2" xfId="5367" xr:uid="{00000000-0005-0000-0000-0000D7120000}"/>
    <cellStyle name="Normal 5 8 5 4" xfId="4056" xr:uid="{00000000-0005-0000-0000-0000D8120000}"/>
    <cellStyle name="Normal 5 8 5 5" xfId="2690" xr:uid="{00000000-0005-0000-0000-0000D9120000}"/>
    <cellStyle name="Normal 5 8 6" xfId="775" xr:uid="{00000000-0005-0000-0000-0000DA120000}"/>
    <cellStyle name="Normal 5 8 6 2" xfId="4140" xr:uid="{00000000-0005-0000-0000-0000DB120000}"/>
    <cellStyle name="Normal 5 8 6 3" xfId="2788" xr:uid="{00000000-0005-0000-0000-0000DC120000}"/>
    <cellStyle name="Normal 5 8 7" xfId="2003" xr:uid="{00000000-0005-0000-0000-0000DD120000}"/>
    <cellStyle name="Normal 5 8 7 2" xfId="5368" xr:uid="{00000000-0005-0000-0000-0000DE120000}"/>
    <cellStyle name="Normal 5 8 8" xfId="3470" xr:uid="{00000000-0005-0000-0000-0000DF120000}"/>
    <cellStyle name="Normal 5 8 9" xfId="2117" xr:uid="{00000000-0005-0000-0000-0000E0120000}"/>
    <cellStyle name="Normal 5 9" xfId="130" xr:uid="{00000000-0005-0000-0000-0000E1120000}"/>
    <cellStyle name="Normal 5 9 2" xfId="205" xr:uid="{00000000-0005-0000-0000-0000E2120000}"/>
    <cellStyle name="Normal 5 9 2 2" xfId="355" xr:uid="{00000000-0005-0000-0000-0000E3120000}"/>
    <cellStyle name="Normal 5 9 2 2 2" xfId="655" xr:uid="{00000000-0005-0000-0000-0000E4120000}"/>
    <cellStyle name="Normal 5 9 2 2 2 2" xfId="1328" xr:uid="{00000000-0005-0000-0000-0000E5120000}"/>
    <cellStyle name="Normal 5 9 2 2 2 2 2" xfId="4693" xr:uid="{00000000-0005-0000-0000-0000E6120000}"/>
    <cellStyle name="Normal 5 9 2 2 2 2 3" xfId="3360" xr:uid="{00000000-0005-0000-0000-0000E7120000}"/>
    <cellStyle name="Normal 5 9 2 2 2 3" xfId="2004" xr:uid="{00000000-0005-0000-0000-0000E8120000}"/>
    <cellStyle name="Normal 5 9 2 2 2 3 2" xfId="5369" xr:uid="{00000000-0005-0000-0000-0000E9120000}"/>
    <cellStyle name="Normal 5 9 2 2 2 4" xfId="4023" xr:uid="{00000000-0005-0000-0000-0000EA120000}"/>
    <cellStyle name="Normal 5 9 2 2 2 5" xfId="2692" xr:uid="{00000000-0005-0000-0000-0000EB120000}"/>
    <cellStyle name="Normal 5 9 2 2 3" xfId="1028" xr:uid="{00000000-0005-0000-0000-0000EC120000}"/>
    <cellStyle name="Normal 5 9 2 2 3 2" xfId="4393" xr:uid="{00000000-0005-0000-0000-0000ED120000}"/>
    <cellStyle name="Normal 5 9 2 2 3 3" xfId="3359" xr:uid="{00000000-0005-0000-0000-0000EE120000}"/>
    <cellStyle name="Normal 5 9 2 2 4" xfId="2005" xr:uid="{00000000-0005-0000-0000-0000EF120000}"/>
    <cellStyle name="Normal 5 9 2 2 4 2" xfId="5370" xr:uid="{00000000-0005-0000-0000-0000F0120000}"/>
    <cellStyle name="Normal 5 9 2 2 5" xfId="3723" xr:uid="{00000000-0005-0000-0000-0000F1120000}"/>
    <cellStyle name="Normal 5 9 2 2 6" xfId="2691" xr:uid="{00000000-0005-0000-0000-0000F2120000}"/>
    <cellStyle name="Normal 5 9 2 3" xfId="505" xr:uid="{00000000-0005-0000-0000-0000F3120000}"/>
    <cellStyle name="Normal 5 9 2 3 2" xfId="1178" xr:uid="{00000000-0005-0000-0000-0000F4120000}"/>
    <cellStyle name="Normal 5 9 2 3 2 2" xfId="4543" xr:uid="{00000000-0005-0000-0000-0000F5120000}"/>
    <cellStyle name="Normal 5 9 2 3 2 3" xfId="3361" xr:uid="{00000000-0005-0000-0000-0000F6120000}"/>
    <cellStyle name="Normal 5 9 2 3 3" xfId="2006" xr:uid="{00000000-0005-0000-0000-0000F7120000}"/>
    <cellStyle name="Normal 5 9 2 3 3 2" xfId="5371" xr:uid="{00000000-0005-0000-0000-0000F8120000}"/>
    <cellStyle name="Normal 5 9 2 3 4" xfId="3873" xr:uid="{00000000-0005-0000-0000-0000F9120000}"/>
    <cellStyle name="Normal 5 9 2 3 5" xfId="2693" xr:uid="{00000000-0005-0000-0000-0000FA120000}"/>
    <cellStyle name="Normal 5 9 2 4" xfId="878" xr:uid="{00000000-0005-0000-0000-0000FB120000}"/>
    <cellStyle name="Normal 5 9 2 4 2" xfId="4243" xr:uid="{00000000-0005-0000-0000-0000FC120000}"/>
    <cellStyle name="Normal 5 9 2 4 3" xfId="2816" xr:uid="{00000000-0005-0000-0000-0000FD120000}"/>
    <cellStyle name="Normal 5 9 2 5" xfId="2007" xr:uid="{00000000-0005-0000-0000-0000FE120000}"/>
    <cellStyle name="Normal 5 9 2 5 2" xfId="5372" xr:uid="{00000000-0005-0000-0000-0000FF120000}"/>
    <cellStyle name="Normal 5 9 2 6" xfId="3573" xr:uid="{00000000-0005-0000-0000-000000130000}"/>
    <cellStyle name="Normal 5 9 2 7" xfId="2145" xr:uid="{00000000-0005-0000-0000-000001130000}"/>
    <cellStyle name="Normal 5 9 3" xfId="280" xr:uid="{00000000-0005-0000-0000-000002130000}"/>
    <cellStyle name="Normal 5 9 3 2" xfId="580" xr:uid="{00000000-0005-0000-0000-000003130000}"/>
    <cellStyle name="Normal 5 9 3 2 2" xfId="1253" xr:uid="{00000000-0005-0000-0000-000004130000}"/>
    <cellStyle name="Normal 5 9 3 2 2 2" xfId="4618" xr:uid="{00000000-0005-0000-0000-000005130000}"/>
    <cellStyle name="Normal 5 9 3 2 2 3" xfId="3363" xr:uid="{00000000-0005-0000-0000-000006130000}"/>
    <cellStyle name="Normal 5 9 3 2 3" xfId="2008" xr:uid="{00000000-0005-0000-0000-000007130000}"/>
    <cellStyle name="Normal 5 9 3 2 3 2" xfId="5373" xr:uid="{00000000-0005-0000-0000-000008130000}"/>
    <cellStyle name="Normal 5 9 3 2 4" xfId="3948" xr:uid="{00000000-0005-0000-0000-000009130000}"/>
    <cellStyle name="Normal 5 9 3 2 5" xfId="2695" xr:uid="{00000000-0005-0000-0000-00000A130000}"/>
    <cellStyle name="Normal 5 9 3 3" xfId="953" xr:uid="{00000000-0005-0000-0000-00000B130000}"/>
    <cellStyle name="Normal 5 9 3 3 2" xfId="4318" xr:uid="{00000000-0005-0000-0000-00000C130000}"/>
    <cellStyle name="Normal 5 9 3 3 3" xfId="3362" xr:uid="{00000000-0005-0000-0000-00000D130000}"/>
    <cellStyle name="Normal 5 9 3 4" xfId="2009" xr:uid="{00000000-0005-0000-0000-00000E130000}"/>
    <cellStyle name="Normal 5 9 3 4 2" xfId="5374" xr:uid="{00000000-0005-0000-0000-00000F130000}"/>
    <cellStyle name="Normal 5 9 3 5" xfId="3648" xr:uid="{00000000-0005-0000-0000-000010130000}"/>
    <cellStyle name="Normal 5 9 3 6" xfId="2694" xr:uid="{00000000-0005-0000-0000-000011130000}"/>
    <cellStyle name="Normal 5 9 4" xfId="430" xr:uid="{00000000-0005-0000-0000-000012130000}"/>
    <cellStyle name="Normal 5 9 4 2" xfId="1103" xr:uid="{00000000-0005-0000-0000-000013130000}"/>
    <cellStyle name="Normal 5 9 4 2 2" xfId="4468" xr:uid="{00000000-0005-0000-0000-000014130000}"/>
    <cellStyle name="Normal 5 9 4 2 3" xfId="3364" xr:uid="{00000000-0005-0000-0000-000015130000}"/>
    <cellStyle name="Normal 5 9 4 3" xfId="2010" xr:uid="{00000000-0005-0000-0000-000016130000}"/>
    <cellStyle name="Normal 5 9 4 3 2" xfId="5375" xr:uid="{00000000-0005-0000-0000-000017130000}"/>
    <cellStyle name="Normal 5 9 4 4" xfId="3798" xr:uid="{00000000-0005-0000-0000-000018130000}"/>
    <cellStyle name="Normal 5 9 4 5" xfId="2696" xr:uid="{00000000-0005-0000-0000-000019130000}"/>
    <cellStyle name="Normal 5 9 5" xfId="716" xr:uid="{00000000-0005-0000-0000-00001A130000}"/>
    <cellStyle name="Normal 5 9 5 2" xfId="1389" xr:uid="{00000000-0005-0000-0000-00001B130000}"/>
    <cellStyle name="Normal 5 9 5 2 2" xfId="4754" xr:uid="{00000000-0005-0000-0000-00001C130000}"/>
    <cellStyle name="Normal 5 9 5 2 3" xfId="3365" xr:uid="{00000000-0005-0000-0000-00001D130000}"/>
    <cellStyle name="Normal 5 9 5 3" xfId="2011" xr:uid="{00000000-0005-0000-0000-00001E130000}"/>
    <cellStyle name="Normal 5 9 5 3 2" xfId="5376" xr:uid="{00000000-0005-0000-0000-00001F130000}"/>
    <cellStyle name="Normal 5 9 5 4" xfId="4084" xr:uid="{00000000-0005-0000-0000-000020130000}"/>
    <cellStyle name="Normal 5 9 5 5" xfId="2697" xr:uid="{00000000-0005-0000-0000-000021130000}"/>
    <cellStyle name="Normal 5 9 6" xfId="803" xr:uid="{00000000-0005-0000-0000-000022130000}"/>
    <cellStyle name="Normal 5 9 6 2" xfId="4168" xr:uid="{00000000-0005-0000-0000-000023130000}"/>
    <cellStyle name="Normal 5 9 6 3" xfId="2758" xr:uid="{00000000-0005-0000-0000-000024130000}"/>
    <cellStyle name="Normal 5 9 7" xfId="2012" xr:uid="{00000000-0005-0000-0000-000025130000}"/>
    <cellStyle name="Normal 5 9 7 2" xfId="5377" xr:uid="{00000000-0005-0000-0000-000026130000}"/>
    <cellStyle name="Normal 5 9 8" xfId="3498" xr:uid="{00000000-0005-0000-0000-000027130000}"/>
    <cellStyle name="Normal 5 9 9" xfId="2081" xr:uid="{00000000-0005-0000-0000-000028130000}"/>
    <cellStyle name="Normal 6" xfId="88" xr:uid="{00000000-0005-0000-0000-000029130000}"/>
    <cellStyle name="Normal 6 2" xfId="90" xr:uid="{00000000-0005-0000-0000-00002A130000}"/>
    <cellStyle name="Normal 6 2 10" xfId="2105" xr:uid="{00000000-0005-0000-0000-00002B130000}"/>
    <cellStyle name="Normal 6 2 2" xfId="116" xr:uid="{00000000-0005-0000-0000-00002C130000}"/>
    <cellStyle name="Normal 6 2 2 2" xfId="191" xr:uid="{00000000-0005-0000-0000-00002D130000}"/>
    <cellStyle name="Normal 6 2 2 2 2" xfId="341" xr:uid="{00000000-0005-0000-0000-00002E130000}"/>
    <cellStyle name="Normal 6 2 2 2 2 2" xfId="641" xr:uid="{00000000-0005-0000-0000-00002F130000}"/>
    <cellStyle name="Normal 6 2 2 2 2 2 2" xfId="1314" xr:uid="{00000000-0005-0000-0000-000030130000}"/>
    <cellStyle name="Normal 6 2 2 2 2 2 2 2" xfId="4679" xr:uid="{00000000-0005-0000-0000-000031130000}"/>
    <cellStyle name="Normal 6 2 2 2 2 2 2 3" xfId="3368" xr:uid="{00000000-0005-0000-0000-000032130000}"/>
    <cellStyle name="Normal 6 2 2 2 2 2 3" xfId="2013" xr:uid="{00000000-0005-0000-0000-000033130000}"/>
    <cellStyle name="Normal 6 2 2 2 2 2 3 2" xfId="5378" xr:uid="{00000000-0005-0000-0000-000034130000}"/>
    <cellStyle name="Normal 6 2 2 2 2 2 4" xfId="4009" xr:uid="{00000000-0005-0000-0000-000035130000}"/>
    <cellStyle name="Normal 6 2 2 2 2 2 5" xfId="2700" xr:uid="{00000000-0005-0000-0000-000036130000}"/>
    <cellStyle name="Normal 6 2 2 2 2 3" xfId="1014" xr:uid="{00000000-0005-0000-0000-000037130000}"/>
    <cellStyle name="Normal 6 2 2 2 2 3 2" xfId="4379" xr:uid="{00000000-0005-0000-0000-000038130000}"/>
    <cellStyle name="Normal 6 2 2 2 2 3 3" xfId="3367" xr:uid="{00000000-0005-0000-0000-000039130000}"/>
    <cellStyle name="Normal 6 2 2 2 2 4" xfId="2014" xr:uid="{00000000-0005-0000-0000-00003A130000}"/>
    <cellStyle name="Normal 6 2 2 2 2 4 2" xfId="5379" xr:uid="{00000000-0005-0000-0000-00003B130000}"/>
    <cellStyle name="Normal 6 2 2 2 2 5" xfId="3709" xr:uid="{00000000-0005-0000-0000-00003C130000}"/>
    <cellStyle name="Normal 6 2 2 2 2 6" xfId="2699" xr:uid="{00000000-0005-0000-0000-00003D130000}"/>
    <cellStyle name="Normal 6 2 2 2 3" xfId="491" xr:uid="{00000000-0005-0000-0000-00003E130000}"/>
    <cellStyle name="Normal 6 2 2 2 3 2" xfId="1164" xr:uid="{00000000-0005-0000-0000-00003F130000}"/>
    <cellStyle name="Normal 6 2 2 2 3 2 2" xfId="4529" xr:uid="{00000000-0005-0000-0000-000040130000}"/>
    <cellStyle name="Normal 6 2 2 2 3 2 3" xfId="3369" xr:uid="{00000000-0005-0000-0000-000041130000}"/>
    <cellStyle name="Normal 6 2 2 2 3 3" xfId="2015" xr:uid="{00000000-0005-0000-0000-000042130000}"/>
    <cellStyle name="Normal 6 2 2 2 3 3 2" xfId="5380" xr:uid="{00000000-0005-0000-0000-000043130000}"/>
    <cellStyle name="Normal 6 2 2 2 3 4" xfId="3859" xr:uid="{00000000-0005-0000-0000-000044130000}"/>
    <cellStyle name="Normal 6 2 2 2 3 5" xfId="2701" xr:uid="{00000000-0005-0000-0000-000045130000}"/>
    <cellStyle name="Normal 6 2 2 2 4" xfId="864" xr:uid="{00000000-0005-0000-0000-000046130000}"/>
    <cellStyle name="Normal 6 2 2 2 4 2" xfId="4229" xr:uid="{00000000-0005-0000-0000-000047130000}"/>
    <cellStyle name="Normal 6 2 2 2 4 3" xfId="3366" xr:uid="{00000000-0005-0000-0000-000048130000}"/>
    <cellStyle name="Normal 6 2 2 2 5" xfId="2016" xr:uid="{00000000-0005-0000-0000-000049130000}"/>
    <cellStyle name="Normal 6 2 2 2 5 2" xfId="5381" xr:uid="{00000000-0005-0000-0000-00004A130000}"/>
    <cellStyle name="Normal 6 2 2 2 6" xfId="3559" xr:uid="{00000000-0005-0000-0000-00004B130000}"/>
    <cellStyle name="Normal 6 2 2 2 7" xfId="2698" xr:uid="{00000000-0005-0000-0000-00004C130000}"/>
    <cellStyle name="Normal 6 2 2 3" xfId="266" xr:uid="{00000000-0005-0000-0000-00004D130000}"/>
    <cellStyle name="Normal 6 2 2 3 2" xfId="566" xr:uid="{00000000-0005-0000-0000-00004E130000}"/>
    <cellStyle name="Normal 6 2 2 3 2 2" xfId="1239" xr:uid="{00000000-0005-0000-0000-00004F130000}"/>
    <cellStyle name="Normal 6 2 2 3 2 2 2" xfId="4604" xr:uid="{00000000-0005-0000-0000-000050130000}"/>
    <cellStyle name="Normal 6 2 2 3 2 2 3" xfId="3371" xr:uid="{00000000-0005-0000-0000-000051130000}"/>
    <cellStyle name="Normal 6 2 2 3 2 3" xfId="2017" xr:uid="{00000000-0005-0000-0000-000052130000}"/>
    <cellStyle name="Normal 6 2 2 3 2 3 2" xfId="5382" xr:uid="{00000000-0005-0000-0000-000053130000}"/>
    <cellStyle name="Normal 6 2 2 3 2 4" xfId="3934" xr:uid="{00000000-0005-0000-0000-000054130000}"/>
    <cellStyle name="Normal 6 2 2 3 2 5" xfId="2703" xr:uid="{00000000-0005-0000-0000-000055130000}"/>
    <cellStyle name="Normal 6 2 2 3 3" xfId="939" xr:uid="{00000000-0005-0000-0000-000056130000}"/>
    <cellStyle name="Normal 6 2 2 3 3 2" xfId="4304" xr:uid="{00000000-0005-0000-0000-000057130000}"/>
    <cellStyle name="Normal 6 2 2 3 3 3" xfId="3370" xr:uid="{00000000-0005-0000-0000-000058130000}"/>
    <cellStyle name="Normal 6 2 2 3 4" xfId="2018" xr:uid="{00000000-0005-0000-0000-000059130000}"/>
    <cellStyle name="Normal 6 2 2 3 4 2" xfId="5383" xr:uid="{00000000-0005-0000-0000-00005A130000}"/>
    <cellStyle name="Normal 6 2 2 3 5" xfId="3634" xr:uid="{00000000-0005-0000-0000-00005B130000}"/>
    <cellStyle name="Normal 6 2 2 3 6" xfId="2702" xr:uid="{00000000-0005-0000-0000-00005C130000}"/>
    <cellStyle name="Normal 6 2 2 4" xfId="416" xr:uid="{00000000-0005-0000-0000-00005D130000}"/>
    <cellStyle name="Normal 6 2 2 4 2" xfId="1089" xr:uid="{00000000-0005-0000-0000-00005E130000}"/>
    <cellStyle name="Normal 6 2 2 4 2 2" xfId="4454" xr:uid="{00000000-0005-0000-0000-00005F130000}"/>
    <cellStyle name="Normal 6 2 2 4 2 3" xfId="3372" xr:uid="{00000000-0005-0000-0000-000060130000}"/>
    <cellStyle name="Normal 6 2 2 4 3" xfId="2019" xr:uid="{00000000-0005-0000-0000-000061130000}"/>
    <cellStyle name="Normal 6 2 2 4 3 2" xfId="5384" xr:uid="{00000000-0005-0000-0000-000062130000}"/>
    <cellStyle name="Normal 6 2 2 4 4" xfId="3784" xr:uid="{00000000-0005-0000-0000-000063130000}"/>
    <cellStyle name="Normal 6 2 2 4 5" xfId="2704" xr:uid="{00000000-0005-0000-0000-000064130000}"/>
    <cellStyle name="Normal 6 2 2 5" xfId="702" xr:uid="{00000000-0005-0000-0000-000065130000}"/>
    <cellStyle name="Normal 6 2 2 5 2" xfId="1375" xr:uid="{00000000-0005-0000-0000-000066130000}"/>
    <cellStyle name="Normal 6 2 2 5 2 2" xfId="4740" xr:uid="{00000000-0005-0000-0000-000067130000}"/>
    <cellStyle name="Normal 6 2 2 5 2 3" xfId="3373" xr:uid="{00000000-0005-0000-0000-000068130000}"/>
    <cellStyle name="Normal 6 2 2 5 3" xfId="2020" xr:uid="{00000000-0005-0000-0000-000069130000}"/>
    <cellStyle name="Normal 6 2 2 5 3 2" xfId="5385" xr:uid="{00000000-0005-0000-0000-00006A130000}"/>
    <cellStyle name="Normal 6 2 2 5 4" xfId="4070" xr:uid="{00000000-0005-0000-0000-00006B130000}"/>
    <cellStyle name="Normal 6 2 2 5 5" xfId="2705" xr:uid="{00000000-0005-0000-0000-00006C130000}"/>
    <cellStyle name="Normal 6 2 2 6" xfId="789" xr:uid="{00000000-0005-0000-0000-00006D130000}"/>
    <cellStyle name="Normal 6 2 2 6 2" xfId="4154" xr:uid="{00000000-0005-0000-0000-00006E130000}"/>
    <cellStyle name="Normal 6 2 2 6 3" xfId="2802" xr:uid="{00000000-0005-0000-0000-00006F130000}"/>
    <cellStyle name="Normal 6 2 2 7" xfId="2021" xr:uid="{00000000-0005-0000-0000-000070130000}"/>
    <cellStyle name="Normal 6 2 2 7 2" xfId="5386" xr:uid="{00000000-0005-0000-0000-000071130000}"/>
    <cellStyle name="Normal 6 2 2 8" xfId="3484" xr:uid="{00000000-0005-0000-0000-000072130000}"/>
    <cellStyle name="Normal 6 2 2 9" xfId="2131" xr:uid="{00000000-0005-0000-0000-000073130000}"/>
    <cellStyle name="Normal 6 2 3" xfId="165" xr:uid="{00000000-0005-0000-0000-000074130000}"/>
    <cellStyle name="Normal 6 2 3 2" xfId="315" xr:uid="{00000000-0005-0000-0000-000075130000}"/>
    <cellStyle name="Normal 6 2 3 2 2" xfId="615" xr:uid="{00000000-0005-0000-0000-000076130000}"/>
    <cellStyle name="Normal 6 2 3 2 2 2" xfId="1288" xr:uid="{00000000-0005-0000-0000-000077130000}"/>
    <cellStyle name="Normal 6 2 3 2 2 2 2" xfId="4653" xr:uid="{00000000-0005-0000-0000-000078130000}"/>
    <cellStyle name="Normal 6 2 3 2 2 2 3" xfId="3376" xr:uid="{00000000-0005-0000-0000-000079130000}"/>
    <cellStyle name="Normal 6 2 3 2 2 3" xfId="2022" xr:uid="{00000000-0005-0000-0000-00007A130000}"/>
    <cellStyle name="Normal 6 2 3 2 2 3 2" xfId="5387" xr:uid="{00000000-0005-0000-0000-00007B130000}"/>
    <cellStyle name="Normal 6 2 3 2 2 4" xfId="3983" xr:uid="{00000000-0005-0000-0000-00007C130000}"/>
    <cellStyle name="Normal 6 2 3 2 2 5" xfId="2708" xr:uid="{00000000-0005-0000-0000-00007D130000}"/>
    <cellStyle name="Normal 6 2 3 2 3" xfId="988" xr:uid="{00000000-0005-0000-0000-00007E130000}"/>
    <cellStyle name="Normal 6 2 3 2 3 2" xfId="4353" xr:uid="{00000000-0005-0000-0000-00007F130000}"/>
    <cellStyle name="Normal 6 2 3 2 3 3" xfId="3375" xr:uid="{00000000-0005-0000-0000-000080130000}"/>
    <cellStyle name="Normal 6 2 3 2 4" xfId="2023" xr:uid="{00000000-0005-0000-0000-000081130000}"/>
    <cellStyle name="Normal 6 2 3 2 4 2" xfId="5388" xr:uid="{00000000-0005-0000-0000-000082130000}"/>
    <cellStyle name="Normal 6 2 3 2 5" xfId="3683" xr:uid="{00000000-0005-0000-0000-000083130000}"/>
    <cellStyle name="Normal 6 2 3 2 6" xfId="2707" xr:uid="{00000000-0005-0000-0000-000084130000}"/>
    <cellStyle name="Normal 6 2 3 3" xfId="465" xr:uid="{00000000-0005-0000-0000-000085130000}"/>
    <cellStyle name="Normal 6 2 3 3 2" xfId="1138" xr:uid="{00000000-0005-0000-0000-000086130000}"/>
    <cellStyle name="Normal 6 2 3 3 2 2" xfId="4503" xr:uid="{00000000-0005-0000-0000-000087130000}"/>
    <cellStyle name="Normal 6 2 3 3 2 3" xfId="3377" xr:uid="{00000000-0005-0000-0000-000088130000}"/>
    <cellStyle name="Normal 6 2 3 3 3" xfId="2024" xr:uid="{00000000-0005-0000-0000-000089130000}"/>
    <cellStyle name="Normal 6 2 3 3 3 2" xfId="5389" xr:uid="{00000000-0005-0000-0000-00008A130000}"/>
    <cellStyle name="Normal 6 2 3 3 4" xfId="3833" xr:uid="{00000000-0005-0000-0000-00008B130000}"/>
    <cellStyle name="Normal 6 2 3 3 5" xfId="2709" xr:uid="{00000000-0005-0000-0000-00008C130000}"/>
    <cellStyle name="Normal 6 2 3 4" xfId="838" xr:uid="{00000000-0005-0000-0000-00008D130000}"/>
    <cellStyle name="Normal 6 2 3 4 2" xfId="4203" xr:uid="{00000000-0005-0000-0000-00008E130000}"/>
    <cellStyle name="Normal 6 2 3 4 3" xfId="3374" xr:uid="{00000000-0005-0000-0000-00008F130000}"/>
    <cellStyle name="Normal 6 2 3 5" xfId="2025" xr:uid="{00000000-0005-0000-0000-000090130000}"/>
    <cellStyle name="Normal 6 2 3 5 2" xfId="5390" xr:uid="{00000000-0005-0000-0000-000091130000}"/>
    <cellStyle name="Normal 6 2 3 6" xfId="3533" xr:uid="{00000000-0005-0000-0000-000092130000}"/>
    <cellStyle name="Normal 6 2 3 7" xfId="2706" xr:uid="{00000000-0005-0000-0000-000093130000}"/>
    <cellStyle name="Normal 6 2 4" xfId="240" xr:uid="{00000000-0005-0000-0000-000094130000}"/>
    <cellStyle name="Normal 6 2 4 2" xfId="540" xr:uid="{00000000-0005-0000-0000-000095130000}"/>
    <cellStyle name="Normal 6 2 4 2 2" xfId="1213" xr:uid="{00000000-0005-0000-0000-000096130000}"/>
    <cellStyle name="Normal 6 2 4 2 2 2" xfId="4578" xr:uid="{00000000-0005-0000-0000-000097130000}"/>
    <cellStyle name="Normal 6 2 4 2 2 3" xfId="3379" xr:uid="{00000000-0005-0000-0000-000098130000}"/>
    <cellStyle name="Normal 6 2 4 2 3" xfId="2026" xr:uid="{00000000-0005-0000-0000-000099130000}"/>
    <cellStyle name="Normal 6 2 4 2 3 2" xfId="5391" xr:uid="{00000000-0005-0000-0000-00009A130000}"/>
    <cellStyle name="Normal 6 2 4 2 4" xfId="3908" xr:uid="{00000000-0005-0000-0000-00009B130000}"/>
    <cellStyle name="Normal 6 2 4 2 5" xfId="2711" xr:uid="{00000000-0005-0000-0000-00009C130000}"/>
    <cellStyle name="Normal 6 2 4 3" xfId="913" xr:uid="{00000000-0005-0000-0000-00009D130000}"/>
    <cellStyle name="Normal 6 2 4 3 2" xfId="4278" xr:uid="{00000000-0005-0000-0000-00009E130000}"/>
    <cellStyle name="Normal 6 2 4 3 3" xfId="3378" xr:uid="{00000000-0005-0000-0000-00009F130000}"/>
    <cellStyle name="Normal 6 2 4 4" xfId="2027" xr:uid="{00000000-0005-0000-0000-0000A0130000}"/>
    <cellStyle name="Normal 6 2 4 4 2" xfId="5392" xr:uid="{00000000-0005-0000-0000-0000A1130000}"/>
    <cellStyle name="Normal 6 2 4 5" xfId="3608" xr:uid="{00000000-0005-0000-0000-0000A2130000}"/>
    <cellStyle name="Normal 6 2 4 6" xfId="2710" xr:uid="{00000000-0005-0000-0000-0000A3130000}"/>
    <cellStyle name="Normal 6 2 5" xfId="390" xr:uid="{00000000-0005-0000-0000-0000A4130000}"/>
    <cellStyle name="Normal 6 2 5 2" xfId="1063" xr:uid="{00000000-0005-0000-0000-0000A5130000}"/>
    <cellStyle name="Normal 6 2 5 2 2" xfId="4428" xr:uid="{00000000-0005-0000-0000-0000A6130000}"/>
    <cellStyle name="Normal 6 2 5 2 3" xfId="3380" xr:uid="{00000000-0005-0000-0000-0000A7130000}"/>
    <cellStyle name="Normal 6 2 5 3" xfId="2028" xr:uid="{00000000-0005-0000-0000-0000A8130000}"/>
    <cellStyle name="Normal 6 2 5 3 2" xfId="5393" xr:uid="{00000000-0005-0000-0000-0000A9130000}"/>
    <cellStyle name="Normal 6 2 5 4" xfId="3758" xr:uid="{00000000-0005-0000-0000-0000AA130000}"/>
    <cellStyle name="Normal 6 2 5 5" xfId="2712" xr:uid="{00000000-0005-0000-0000-0000AB130000}"/>
    <cellStyle name="Normal 6 2 6" xfId="676" xr:uid="{00000000-0005-0000-0000-0000AC130000}"/>
    <cellStyle name="Normal 6 2 6 2" xfId="720" xr:uid="{00000000-0005-0000-0000-0000AD130000}"/>
    <cellStyle name="Normal 6 2 6 2 2" xfId="1393" xr:uid="{00000000-0005-0000-0000-0000AE130000}"/>
    <cellStyle name="Normal 6 2 6 2 2 2" xfId="4758" xr:uid="{00000000-0005-0000-0000-0000AF130000}"/>
    <cellStyle name="Normal 6 2 6 2 2 3" xfId="3382" xr:uid="{00000000-0005-0000-0000-0000B0130000}"/>
    <cellStyle name="Normal 6 2 6 2 3" xfId="2029" xr:uid="{00000000-0005-0000-0000-0000B1130000}"/>
    <cellStyle name="Normal 6 2 6 2 3 2" xfId="5394" xr:uid="{00000000-0005-0000-0000-0000B2130000}"/>
    <cellStyle name="Normal 6 2 6 2 4" xfId="4088" xr:uid="{00000000-0005-0000-0000-0000B3130000}"/>
    <cellStyle name="Normal 6 2 6 2 5" xfId="2714" xr:uid="{00000000-0005-0000-0000-0000B4130000}"/>
    <cellStyle name="Normal 6 2 6 3" xfId="1349" xr:uid="{00000000-0005-0000-0000-0000B5130000}"/>
    <cellStyle name="Normal 6 2 6 3 2" xfId="4714" xr:uid="{00000000-0005-0000-0000-0000B6130000}"/>
    <cellStyle name="Normal 6 2 6 3 3" xfId="3381" xr:uid="{00000000-0005-0000-0000-0000B7130000}"/>
    <cellStyle name="Normal 6 2 6 4" xfId="2030" xr:uid="{00000000-0005-0000-0000-0000B8130000}"/>
    <cellStyle name="Normal 6 2 6 4 2" xfId="5395" xr:uid="{00000000-0005-0000-0000-0000B9130000}"/>
    <cellStyle name="Normal 6 2 6 5" xfId="4044" xr:uid="{00000000-0005-0000-0000-0000BA130000}"/>
    <cellStyle name="Normal 6 2 6 6" xfId="2713" xr:uid="{00000000-0005-0000-0000-0000BB130000}"/>
    <cellStyle name="Normal 6 2 7" xfId="763" xr:uid="{00000000-0005-0000-0000-0000BC130000}"/>
    <cellStyle name="Normal 6 2 7 2" xfId="4128" xr:uid="{00000000-0005-0000-0000-0000BD130000}"/>
    <cellStyle name="Normal 6 2 7 3" xfId="2776" xr:uid="{00000000-0005-0000-0000-0000BE130000}"/>
    <cellStyle name="Normal 6 2 8" xfId="2031" xr:uid="{00000000-0005-0000-0000-0000BF130000}"/>
    <cellStyle name="Normal 6 2 8 2" xfId="5396" xr:uid="{00000000-0005-0000-0000-0000C0130000}"/>
    <cellStyle name="Normal 6 2 9" xfId="3458" xr:uid="{00000000-0005-0000-0000-0000C1130000}"/>
    <cellStyle name="Normal 7" xfId="91" xr:uid="{00000000-0005-0000-0000-0000C2130000}"/>
    <cellStyle name="Normal 7 10" xfId="2106" xr:uid="{00000000-0005-0000-0000-0000C3130000}"/>
    <cellStyle name="Normal 7 2" xfId="117" xr:uid="{00000000-0005-0000-0000-0000C4130000}"/>
    <cellStyle name="Normal 7 2 2" xfId="192" xr:uid="{00000000-0005-0000-0000-0000C5130000}"/>
    <cellStyle name="Normal 7 2 2 2" xfId="342" xr:uid="{00000000-0005-0000-0000-0000C6130000}"/>
    <cellStyle name="Normal 7 2 2 2 2" xfId="642" xr:uid="{00000000-0005-0000-0000-0000C7130000}"/>
    <cellStyle name="Normal 7 2 2 2 2 2" xfId="1315" xr:uid="{00000000-0005-0000-0000-0000C8130000}"/>
    <cellStyle name="Normal 7 2 2 2 2 2 2" xfId="4680" xr:uid="{00000000-0005-0000-0000-0000C9130000}"/>
    <cellStyle name="Normal 7 2 2 2 2 2 3" xfId="3385" xr:uid="{00000000-0005-0000-0000-0000CA130000}"/>
    <cellStyle name="Normal 7 2 2 2 2 3" xfId="2032" xr:uid="{00000000-0005-0000-0000-0000CB130000}"/>
    <cellStyle name="Normal 7 2 2 2 2 3 2" xfId="5397" xr:uid="{00000000-0005-0000-0000-0000CC130000}"/>
    <cellStyle name="Normal 7 2 2 2 2 4" xfId="4010" xr:uid="{00000000-0005-0000-0000-0000CD130000}"/>
    <cellStyle name="Normal 7 2 2 2 2 5" xfId="2717" xr:uid="{00000000-0005-0000-0000-0000CE130000}"/>
    <cellStyle name="Normal 7 2 2 2 3" xfId="1015" xr:uid="{00000000-0005-0000-0000-0000CF130000}"/>
    <cellStyle name="Normal 7 2 2 2 3 2" xfId="4380" xr:uid="{00000000-0005-0000-0000-0000D0130000}"/>
    <cellStyle name="Normal 7 2 2 2 3 3" xfId="3384" xr:uid="{00000000-0005-0000-0000-0000D1130000}"/>
    <cellStyle name="Normal 7 2 2 2 4" xfId="2033" xr:uid="{00000000-0005-0000-0000-0000D2130000}"/>
    <cellStyle name="Normal 7 2 2 2 4 2" xfId="5398" xr:uid="{00000000-0005-0000-0000-0000D3130000}"/>
    <cellStyle name="Normal 7 2 2 2 5" xfId="3710" xr:uid="{00000000-0005-0000-0000-0000D4130000}"/>
    <cellStyle name="Normal 7 2 2 2 6" xfId="2716" xr:uid="{00000000-0005-0000-0000-0000D5130000}"/>
    <cellStyle name="Normal 7 2 2 3" xfId="492" xr:uid="{00000000-0005-0000-0000-0000D6130000}"/>
    <cellStyle name="Normal 7 2 2 3 2" xfId="1165" xr:uid="{00000000-0005-0000-0000-0000D7130000}"/>
    <cellStyle name="Normal 7 2 2 3 2 2" xfId="4530" xr:uid="{00000000-0005-0000-0000-0000D8130000}"/>
    <cellStyle name="Normal 7 2 2 3 2 3" xfId="3386" xr:uid="{00000000-0005-0000-0000-0000D9130000}"/>
    <cellStyle name="Normal 7 2 2 3 3" xfId="2034" xr:uid="{00000000-0005-0000-0000-0000DA130000}"/>
    <cellStyle name="Normal 7 2 2 3 3 2" xfId="5399" xr:uid="{00000000-0005-0000-0000-0000DB130000}"/>
    <cellStyle name="Normal 7 2 2 3 4" xfId="3860" xr:uid="{00000000-0005-0000-0000-0000DC130000}"/>
    <cellStyle name="Normal 7 2 2 3 5" xfId="2718" xr:uid="{00000000-0005-0000-0000-0000DD130000}"/>
    <cellStyle name="Normal 7 2 2 4" xfId="865" xr:uid="{00000000-0005-0000-0000-0000DE130000}"/>
    <cellStyle name="Normal 7 2 2 4 2" xfId="4230" xr:uid="{00000000-0005-0000-0000-0000DF130000}"/>
    <cellStyle name="Normal 7 2 2 4 3" xfId="3383" xr:uid="{00000000-0005-0000-0000-0000E0130000}"/>
    <cellStyle name="Normal 7 2 2 5" xfId="2035" xr:uid="{00000000-0005-0000-0000-0000E1130000}"/>
    <cellStyle name="Normal 7 2 2 5 2" xfId="5400" xr:uid="{00000000-0005-0000-0000-0000E2130000}"/>
    <cellStyle name="Normal 7 2 2 6" xfId="3560" xr:uid="{00000000-0005-0000-0000-0000E3130000}"/>
    <cellStyle name="Normal 7 2 2 7" xfId="2715" xr:uid="{00000000-0005-0000-0000-0000E4130000}"/>
    <cellStyle name="Normal 7 2 3" xfId="267" xr:uid="{00000000-0005-0000-0000-0000E5130000}"/>
    <cellStyle name="Normal 7 2 3 2" xfId="567" xr:uid="{00000000-0005-0000-0000-0000E6130000}"/>
    <cellStyle name="Normal 7 2 3 2 2" xfId="1240" xr:uid="{00000000-0005-0000-0000-0000E7130000}"/>
    <cellStyle name="Normal 7 2 3 2 2 2" xfId="4605" xr:uid="{00000000-0005-0000-0000-0000E8130000}"/>
    <cellStyle name="Normal 7 2 3 2 2 3" xfId="3388" xr:uid="{00000000-0005-0000-0000-0000E9130000}"/>
    <cellStyle name="Normal 7 2 3 2 3" xfId="2036" xr:uid="{00000000-0005-0000-0000-0000EA130000}"/>
    <cellStyle name="Normal 7 2 3 2 3 2" xfId="5401" xr:uid="{00000000-0005-0000-0000-0000EB130000}"/>
    <cellStyle name="Normal 7 2 3 2 4" xfId="3935" xr:uid="{00000000-0005-0000-0000-0000EC130000}"/>
    <cellStyle name="Normal 7 2 3 2 5" xfId="2720" xr:uid="{00000000-0005-0000-0000-0000ED130000}"/>
    <cellStyle name="Normal 7 2 3 3" xfId="940" xr:uid="{00000000-0005-0000-0000-0000EE130000}"/>
    <cellStyle name="Normal 7 2 3 3 2" xfId="4305" xr:uid="{00000000-0005-0000-0000-0000EF130000}"/>
    <cellStyle name="Normal 7 2 3 3 3" xfId="3387" xr:uid="{00000000-0005-0000-0000-0000F0130000}"/>
    <cellStyle name="Normal 7 2 3 4" xfId="2037" xr:uid="{00000000-0005-0000-0000-0000F1130000}"/>
    <cellStyle name="Normal 7 2 3 4 2" xfId="5402" xr:uid="{00000000-0005-0000-0000-0000F2130000}"/>
    <cellStyle name="Normal 7 2 3 5" xfId="3635" xr:uid="{00000000-0005-0000-0000-0000F3130000}"/>
    <cellStyle name="Normal 7 2 3 6" xfId="2719" xr:uid="{00000000-0005-0000-0000-0000F4130000}"/>
    <cellStyle name="Normal 7 2 4" xfId="417" xr:uid="{00000000-0005-0000-0000-0000F5130000}"/>
    <cellStyle name="Normal 7 2 4 2" xfId="1090" xr:uid="{00000000-0005-0000-0000-0000F6130000}"/>
    <cellStyle name="Normal 7 2 4 2 2" xfId="4455" xr:uid="{00000000-0005-0000-0000-0000F7130000}"/>
    <cellStyle name="Normal 7 2 4 2 3" xfId="3389" xr:uid="{00000000-0005-0000-0000-0000F8130000}"/>
    <cellStyle name="Normal 7 2 4 3" xfId="2038" xr:uid="{00000000-0005-0000-0000-0000F9130000}"/>
    <cellStyle name="Normal 7 2 4 3 2" xfId="5403" xr:uid="{00000000-0005-0000-0000-0000FA130000}"/>
    <cellStyle name="Normal 7 2 4 4" xfId="3785" xr:uid="{00000000-0005-0000-0000-0000FB130000}"/>
    <cellStyle name="Normal 7 2 4 5" xfId="2721" xr:uid="{00000000-0005-0000-0000-0000FC130000}"/>
    <cellStyle name="Normal 7 2 5" xfId="703" xr:uid="{00000000-0005-0000-0000-0000FD130000}"/>
    <cellStyle name="Normal 7 2 5 2" xfId="1376" xr:uid="{00000000-0005-0000-0000-0000FE130000}"/>
    <cellStyle name="Normal 7 2 5 2 2" xfId="4741" xr:uid="{00000000-0005-0000-0000-0000FF130000}"/>
    <cellStyle name="Normal 7 2 5 2 3" xfId="3390" xr:uid="{00000000-0005-0000-0000-000000140000}"/>
    <cellStyle name="Normal 7 2 5 3" xfId="2039" xr:uid="{00000000-0005-0000-0000-000001140000}"/>
    <cellStyle name="Normal 7 2 5 3 2" xfId="5404" xr:uid="{00000000-0005-0000-0000-000002140000}"/>
    <cellStyle name="Normal 7 2 5 4" xfId="4071" xr:uid="{00000000-0005-0000-0000-000003140000}"/>
    <cellStyle name="Normal 7 2 5 5" xfId="2722" xr:uid="{00000000-0005-0000-0000-000004140000}"/>
    <cellStyle name="Normal 7 2 6" xfId="790" xr:uid="{00000000-0005-0000-0000-000005140000}"/>
    <cellStyle name="Normal 7 2 6 2" xfId="4155" xr:uid="{00000000-0005-0000-0000-000006140000}"/>
    <cellStyle name="Normal 7 2 6 3" xfId="2803" xr:uid="{00000000-0005-0000-0000-000007140000}"/>
    <cellStyle name="Normal 7 2 7" xfId="2040" xr:uid="{00000000-0005-0000-0000-000008140000}"/>
    <cellStyle name="Normal 7 2 7 2" xfId="5405" xr:uid="{00000000-0005-0000-0000-000009140000}"/>
    <cellStyle name="Normal 7 2 8" xfId="3485" xr:uid="{00000000-0005-0000-0000-00000A140000}"/>
    <cellStyle name="Normal 7 2 9" xfId="2132" xr:uid="{00000000-0005-0000-0000-00000B140000}"/>
    <cellStyle name="Normal 7 3" xfId="166" xr:uid="{00000000-0005-0000-0000-00000C140000}"/>
    <cellStyle name="Normal 7 3 2" xfId="316" xr:uid="{00000000-0005-0000-0000-00000D140000}"/>
    <cellStyle name="Normal 7 3 2 2" xfId="616" xr:uid="{00000000-0005-0000-0000-00000E140000}"/>
    <cellStyle name="Normal 7 3 2 2 2" xfId="1289" xr:uid="{00000000-0005-0000-0000-00000F140000}"/>
    <cellStyle name="Normal 7 3 2 2 2 2" xfId="4654" xr:uid="{00000000-0005-0000-0000-000010140000}"/>
    <cellStyle name="Normal 7 3 2 2 2 3" xfId="3393" xr:uid="{00000000-0005-0000-0000-000011140000}"/>
    <cellStyle name="Normal 7 3 2 2 3" xfId="2041" xr:uid="{00000000-0005-0000-0000-000012140000}"/>
    <cellStyle name="Normal 7 3 2 2 3 2" xfId="5406" xr:uid="{00000000-0005-0000-0000-000013140000}"/>
    <cellStyle name="Normal 7 3 2 2 4" xfId="3984" xr:uid="{00000000-0005-0000-0000-000014140000}"/>
    <cellStyle name="Normal 7 3 2 2 5" xfId="2725" xr:uid="{00000000-0005-0000-0000-000015140000}"/>
    <cellStyle name="Normal 7 3 2 3" xfId="989" xr:uid="{00000000-0005-0000-0000-000016140000}"/>
    <cellStyle name="Normal 7 3 2 3 2" xfId="4354" xr:uid="{00000000-0005-0000-0000-000017140000}"/>
    <cellStyle name="Normal 7 3 2 3 3" xfId="3392" xr:uid="{00000000-0005-0000-0000-000018140000}"/>
    <cellStyle name="Normal 7 3 2 4" xfId="2042" xr:uid="{00000000-0005-0000-0000-000019140000}"/>
    <cellStyle name="Normal 7 3 2 4 2" xfId="5407" xr:uid="{00000000-0005-0000-0000-00001A140000}"/>
    <cellStyle name="Normal 7 3 2 5" xfId="3684" xr:uid="{00000000-0005-0000-0000-00001B140000}"/>
    <cellStyle name="Normal 7 3 2 6" xfId="2724" xr:uid="{00000000-0005-0000-0000-00001C140000}"/>
    <cellStyle name="Normal 7 3 3" xfId="466" xr:uid="{00000000-0005-0000-0000-00001D140000}"/>
    <cellStyle name="Normal 7 3 3 2" xfId="1139" xr:uid="{00000000-0005-0000-0000-00001E140000}"/>
    <cellStyle name="Normal 7 3 3 2 2" xfId="4504" xr:uid="{00000000-0005-0000-0000-00001F140000}"/>
    <cellStyle name="Normal 7 3 3 2 3" xfId="3394" xr:uid="{00000000-0005-0000-0000-000020140000}"/>
    <cellStyle name="Normal 7 3 3 3" xfId="2043" xr:uid="{00000000-0005-0000-0000-000021140000}"/>
    <cellStyle name="Normal 7 3 3 3 2" xfId="5408" xr:uid="{00000000-0005-0000-0000-000022140000}"/>
    <cellStyle name="Normal 7 3 3 4" xfId="3834" xr:uid="{00000000-0005-0000-0000-000023140000}"/>
    <cellStyle name="Normal 7 3 3 5" xfId="2726" xr:uid="{00000000-0005-0000-0000-000024140000}"/>
    <cellStyle name="Normal 7 3 4" xfId="839" xr:uid="{00000000-0005-0000-0000-000025140000}"/>
    <cellStyle name="Normal 7 3 4 2" xfId="4204" xr:uid="{00000000-0005-0000-0000-000026140000}"/>
    <cellStyle name="Normal 7 3 4 3" xfId="3391" xr:uid="{00000000-0005-0000-0000-000027140000}"/>
    <cellStyle name="Normal 7 3 5" xfId="2044" xr:uid="{00000000-0005-0000-0000-000028140000}"/>
    <cellStyle name="Normal 7 3 5 2" xfId="5409" xr:uid="{00000000-0005-0000-0000-000029140000}"/>
    <cellStyle name="Normal 7 3 6" xfId="3534" xr:uid="{00000000-0005-0000-0000-00002A140000}"/>
    <cellStyle name="Normal 7 3 7" xfId="2723" xr:uid="{00000000-0005-0000-0000-00002B140000}"/>
    <cellStyle name="Normal 7 4" xfId="241" xr:uid="{00000000-0005-0000-0000-00002C140000}"/>
    <cellStyle name="Normal 7 4 2" xfId="541" xr:uid="{00000000-0005-0000-0000-00002D140000}"/>
    <cellStyle name="Normal 7 4 2 2" xfId="1214" xr:uid="{00000000-0005-0000-0000-00002E140000}"/>
    <cellStyle name="Normal 7 4 2 2 2" xfId="4579" xr:uid="{00000000-0005-0000-0000-00002F140000}"/>
    <cellStyle name="Normal 7 4 2 2 3" xfId="3396" xr:uid="{00000000-0005-0000-0000-000030140000}"/>
    <cellStyle name="Normal 7 4 2 3" xfId="2045" xr:uid="{00000000-0005-0000-0000-000031140000}"/>
    <cellStyle name="Normal 7 4 2 3 2" xfId="5410" xr:uid="{00000000-0005-0000-0000-000032140000}"/>
    <cellStyle name="Normal 7 4 2 4" xfId="3909" xr:uid="{00000000-0005-0000-0000-000033140000}"/>
    <cellStyle name="Normal 7 4 2 5" xfId="2728" xr:uid="{00000000-0005-0000-0000-000034140000}"/>
    <cellStyle name="Normal 7 4 3" xfId="914" xr:uid="{00000000-0005-0000-0000-000035140000}"/>
    <cellStyle name="Normal 7 4 3 2" xfId="4279" xr:uid="{00000000-0005-0000-0000-000036140000}"/>
    <cellStyle name="Normal 7 4 3 3" xfId="3395" xr:uid="{00000000-0005-0000-0000-000037140000}"/>
    <cellStyle name="Normal 7 4 4" xfId="2046" xr:uid="{00000000-0005-0000-0000-000038140000}"/>
    <cellStyle name="Normal 7 4 4 2" xfId="5411" xr:uid="{00000000-0005-0000-0000-000039140000}"/>
    <cellStyle name="Normal 7 4 5" xfId="3609" xr:uid="{00000000-0005-0000-0000-00003A140000}"/>
    <cellStyle name="Normal 7 4 6" xfId="2727" xr:uid="{00000000-0005-0000-0000-00003B140000}"/>
    <cellStyle name="Normal 7 5" xfId="391" xr:uid="{00000000-0005-0000-0000-00003C140000}"/>
    <cellStyle name="Normal 7 5 2" xfId="1064" xr:uid="{00000000-0005-0000-0000-00003D140000}"/>
    <cellStyle name="Normal 7 5 2 2" xfId="4429" xr:uid="{00000000-0005-0000-0000-00003E140000}"/>
    <cellStyle name="Normal 7 5 2 3" xfId="3397" xr:uid="{00000000-0005-0000-0000-00003F140000}"/>
    <cellStyle name="Normal 7 5 3" xfId="2047" xr:uid="{00000000-0005-0000-0000-000040140000}"/>
    <cellStyle name="Normal 7 5 3 2" xfId="5412" xr:uid="{00000000-0005-0000-0000-000041140000}"/>
    <cellStyle name="Normal 7 5 4" xfId="3759" xr:uid="{00000000-0005-0000-0000-000042140000}"/>
    <cellStyle name="Normal 7 5 5" xfId="2729" xr:uid="{00000000-0005-0000-0000-000043140000}"/>
    <cellStyle name="Normal 7 6" xfId="677" xr:uid="{00000000-0005-0000-0000-000044140000}"/>
    <cellStyle name="Normal 7 6 2" xfId="1350" xr:uid="{00000000-0005-0000-0000-000045140000}"/>
    <cellStyle name="Normal 7 6 2 2" xfId="4715" xr:uid="{00000000-0005-0000-0000-000046140000}"/>
    <cellStyle name="Normal 7 6 2 3" xfId="3398" xr:uid="{00000000-0005-0000-0000-000047140000}"/>
    <cellStyle name="Normal 7 6 3" xfId="2048" xr:uid="{00000000-0005-0000-0000-000048140000}"/>
    <cellStyle name="Normal 7 6 3 2" xfId="5413" xr:uid="{00000000-0005-0000-0000-000049140000}"/>
    <cellStyle name="Normal 7 6 4" xfId="4045" xr:uid="{00000000-0005-0000-0000-00004A140000}"/>
    <cellStyle name="Normal 7 6 5" xfId="2730" xr:uid="{00000000-0005-0000-0000-00004B140000}"/>
    <cellStyle name="Normal 7 7" xfId="764" xr:uid="{00000000-0005-0000-0000-00004C140000}"/>
    <cellStyle name="Normal 7 7 2" xfId="4129" xr:uid="{00000000-0005-0000-0000-00004D140000}"/>
    <cellStyle name="Normal 7 7 3" xfId="2777" xr:uid="{00000000-0005-0000-0000-00004E140000}"/>
    <cellStyle name="Normal 7 8" xfId="2049" xr:uid="{00000000-0005-0000-0000-00004F140000}"/>
    <cellStyle name="Normal 7 8 2" xfId="5414" xr:uid="{00000000-0005-0000-0000-000050140000}"/>
    <cellStyle name="Normal 7 9" xfId="3459" xr:uid="{00000000-0005-0000-0000-000051140000}"/>
    <cellStyle name="Normal 8" xfId="97" xr:uid="{00000000-0005-0000-0000-000052140000}"/>
    <cellStyle name="Normal 8 2" xfId="172" xr:uid="{00000000-0005-0000-0000-000053140000}"/>
    <cellStyle name="Normal 8 2 2" xfId="322" xr:uid="{00000000-0005-0000-0000-000054140000}"/>
    <cellStyle name="Normal 8 2 2 2" xfId="622" xr:uid="{00000000-0005-0000-0000-000055140000}"/>
    <cellStyle name="Normal 8 2 2 2 2" xfId="1295" xr:uid="{00000000-0005-0000-0000-000056140000}"/>
    <cellStyle name="Normal 8 2 2 2 2 2" xfId="4660" xr:uid="{00000000-0005-0000-0000-000057140000}"/>
    <cellStyle name="Normal 8 2 2 2 2 3" xfId="3401" xr:uid="{00000000-0005-0000-0000-000058140000}"/>
    <cellStyle name="Normal 8 2 2 2 3" xfId="2050" xr:uid="{00000000-0005-0000-0000-000059140000}"/>
    <cellStyle name="Normal 8 2 2 2 3 2" xfId="5415" xr:uid="{00000000-0005-0000-0000-00005A140000}"/>
    <cellStyle name="Normal 8 2 2 2 4" xfId="3990" xr:uid="{00000000-0005-0000-0000-00005B140000}"/>
    <cellStyle name="Normal 8 2 2 2 5" xfId="2733" xr:uid="{00000000-0005-0000-0000-00005C140000}"/>
    <cellStyle name="Normal 8 2 2 3" xfId="995" xr:uid="{00000000-0005-0000-0000-00005D140000}"/>
    <cellStyle name="Normal 8 2 2 3 2" xfId="4360" xr:uid="{00000000-0005-0000-0000-00005E140000}"/>
    <cellStyle name="Normal 8 2 2 3 3" xfId="3400" xr:uid="{00000000-0005-0000-0000-00005F140000}"/>
    <cellStyle name="Normal 8 2 2 4" xfId="2051" xr:uid="{00000000-0005-0000-0000-000060140000}"/>
    <cellStyle name="Normal 8 2 2 4 2" xfId="5416" xr:uid="{00000000-0005-0000-0000-000061140000}"/>
    <cellStyle name="Normal 8 2 2 5" xfId="3690" xr:uid="{00000000-0005-0000-0000-000062140000}"/>
    <cellStyle name="Normal 8 2 2 6" xfId="2732" xr:uid="{00000000-0005-0000-0000-000063140000}"/>
    <cellStyle name="Normal 8 2 3" xfId="472" xr:uid="{00000000-0005-0000-0000-000064140000}"/>
    <cellStyle name="Normal 8 2 3 2" xfId="1145" xr:uid="{00000000-0005-0000-0000-000065140000}"/>
    <cellStyle name="Normal 8 2 3 2 2" xfId="4510" xr:uid="{00000000-0005-0000-0000-000066140000}"/>
    <cellStyle name="Normal 8 2 3 2 3" xfId="3402" xr:uid="{00000000-0005-0000-0000-000067140000}"/>
    <cellStyle name="Normal 8 2 3 3" xfId="2052" xr:uid="{00000000-0005-0000-0000-000068140000}"/>
    <cellStyle name="Normal 8 2 3 3 2" xfId="5417" xr:uid="{00000000-0005-0000-0000-000069140000}"/>
    <cellStyle name="Normal 8 2 3 4" xfId="3840" xr:uid="{00000000-0005-0000-0000-00006A140000}"/>
    <cellStyle name="Normal 8 2 3 5" xfId="2734" xr:uid="{00000000-0005-0000-0000-00006B140000}"/>
    <cellStyle name="Normal 8 2 4" xfId="845" xr:uid="{00000000-0005-0000-0000-00006C140000}"/>
    <cellStyle name="Normal 8 2 4 2" xfId="4210" xr:uid="{00000000-0005-0000-0000-00006D140000}"/>
    <cellStyle name="Normal 8 2 4 3" xfId="3399" xr:uid="{00000000-0005-0000-0000-00006E140000}"/>
    <cellStyle name="Normal 8 2 5" xfId="2053" xr:uid="{00000000-0005-0000-0000-00006F140000}"/>
    <cellStyle name="Normal 8 2 5 2" xfId="5418" xr:uid="{00000000-0005-0000-0000-000070140000}"/>
    <cellStyle name="Normal 8 2 6" xfId="3540" xr:uid="{00000000-0005-0000-0000-000071140000}"/>
    <cellStyle name="Normal 8 2 7" xfId="2731" xr:uid="{00000000-0005-0000-0000-000072140000}"/>
    <cellStyle name="Normal 8 3" xfId="247" xr:uid="{00000000-0005-0000-0000-000073140000}"/>
    <cellStyle name="Normal 8 3 2" xfId="547" xr:uid="{00000000-0005-0000-0000-000074140000}"/>
    <cellStyle name="Normal 8 3 2 2" xfId="1220" xr:uid="{00000000-0005-0000-0000-000075140000}"/>
    <cellStyle name="Normal 8 3 2 2 2" xfId="4585" xr:uid="{00000000-0005-0000-0000-000076140000}"/>
    <cellStyle name="Normal 8 3 2 2 3" xfId="3404" xr:uid="{00000000-0005-0000-0000-000077140000}"/>
    <cellStyle name="Normal 8 3 2 3" xfId="2054" xr:uid="{00000000-0005-0000-0000-000078140000}"/>
    <cellStyle name="Normal 8 3 2 3 2" xfId="5419" xr:uid="{00000000-0005-0000-0000-000079140000}"/>
    <cellStyle name="Normal 8 3 2 4" xfId="3915" xr:uid="{00000000-0005-0000-0000-00007A140000}"/>
    <cellStyle name="Normal 8 3 2 5" xfId="2736" xr:uid="{00000000-0005-0000-0000-00007B140000}"/>
    <cellStyle name="Normal 8 3 3" xfId="920" xr:uid="{00000000-0005-0000-0000-00007C140000}"/>
    <cellStyle name="Normal 8 3 3 2" xfId="4285" xr:uid="{00000000-0005-0000-0000-00007D140000}"/>
    <cellStyle name="Normal 8 3 3 3" xfId="3403" xr:uid="{00000000-0005-0000-0000-00007E140000}"/>
    <cellStyle name="Normal 8 3 4" xfId="2055" xr:uid="{00000000-0005-0000-0000-00007F140000}"/>
    <cellStyle name="Normal 8 3 4 2" xfId="5420" xr:uid="{00000000-0005-0000-0000-000080140000}"/>
    <cellStyle name="Normal 8 3 5" xfId="3615" xr:uid="{00000000-0005-0000-0000-000081140000}"/>
    <cellStyle name="Normal 8 3 6" xfId="2735" xr:uid="{00000000-0005-0000-0000-000082140000}"/>
    <cellStyle name="Normal 8 4" xfId="397" xr:uid="{00000000-0005-0000-0000-000083140000}"/>
    <cellStyle name="Normal 8 4 2" xfId="1070" xr:uid="{00000000-0005-0000-0000-000084140000}"/>
    <cellStyle name="Normal 8 4 2 2" xfId="4435" xr:uid="{00000000-0005-0000-0000-000085140000}"/>
    <cellStyle name="Normal 8 4 2 3" xfId="3405" xr:uid="{00000000-0005-0000-0000-000086140000}"/>
    <cellStyle name="Normal 8 4 3" xfId="2056" xr:uid="{00000000-0005-0000-0000-000087140000}"/>
    <cellStyle name="Normal 8 4 3 2" xfId="5421" xr:uid="{00000000-0005-0000-0000-000088140000}"/>
    <cellStyle name="Normal 8 4 4" xfId="3765" xr:uid="{00000000-0005-0000-0000-000089140000}"/>
    <cellStyle name="Normal 8 4 5" xfId="2737" xr:uid="{00000000-0005-0000-0000-00008A140000}"/>
    <cellStyle name="Normal 8 5" xfId="683" xr:uid="{00000000-0005-0000-0000-00008B140000}"/>
    <cellStyle name="Normal 8 5 2" xfId="1356" xr:uid="{00000000-0005-0000-0000-00008C140000}"/>
    <cellStyle name="Normal 8 5 2 2" xfId="4721" xr:uid="{00000000-0005-0000-0000-00008D140000}"/>
    <cellStyle name="Normal 8 5 2 3" xfId="3406" xr:uid="{00000000-0005-0000-0000-00008E140000}"/>
    <cellStyle name="Normal 8 5 3" xfId="2057" xr:uid="{00000000-0005-0000-0000-00008F140000}"/>
    <cellStyle name="Normal 8 5 3 2" xfId="5422" xr:uid="{00000000-0005-0000-0000-000090140000}"/>
    <cellStyle name="Normal 8 5 4" xfId="4051" xr:uid="{00000000-0005-0000-0000-000091140000}"/>
    <cellStyle name="Normal 8 5 5" xfId="2738" xr:uid="{00000000-0005-0000-0000-000092140000}"/>
    <cellStyle name="Normal 8 6" xfId="770" xr:uid="{00000000-0005-0000-0000-000093140000}"/>
    <cellStyle name="Normal 8 6 2" xfId="4135" xr:uid="{00000000-0005-0000-0000-000094140000}"/>
    <cellStyle name="Normal 8 6 3" xfId="2783" xr:uid="{00000000-0005-0000-0000-000095140000}"/>
    <cellStyle name="Normal 8 7" xfId="2058" xr:uid="{00000000-0005-0000-0000-000096140000}"/>
    <cellStyle name="Normal 8 7 2" xfId="5423" xr:uid="{00000000-0005-0000-0000-000097140000}"/>
    <cellStyle name="Normal 8 8" xfId="3465" xr:uid="{00000000-0005-0000-0000-000098140000}"/>
    <cellStyle name="Normal 8 9" xfId="2112" xr:uid="{00000000-0005-0000-0000-000099140000}"/>
    <cellStyle name="Normal 9" xfId="126" xr:uid="{00000000-0005-0000-0000-00009A140000}"/>
    <cellStyle name="Normal 9 10" xfId="2141" xr:uid="{00000000-0005-0000-0000-00009B140000}"/>
    <cellStyle name="Normal 9 2" xfId="129" xr:uid="{00000000-0005-0000-0000-00009C140000}"/>
    <cellStyle name="Normal 9 2 2" xfId="204" xr:uid="{00000000-0005-0000-0000-00009D140000}"/>
    <cellStyle name="Normal 9 2 2 2" xfId="354" xr:uid="{00000000-0005-0000-0000-00009E140000}"/>
    <cellStyle name="Normal 9 2 2 2 2" xfId="654" xr:uid="{00000000-0005-0000-0000-00009F140000}"/>
    <cellStyle name="Normal 9 2 2 2 2 2" xfId="1327" xr:uid="{00000000-0005-0000-0000-0000A0140000}"/>
    <cellStyle name="Normal 9 2 2 2 2 2 2" xfId="4692" xr:uid="{00000000-0005-0000-0000-0000A1140000}"/>
    <cellStyle name="Normal 9 2 2 2 2 2 3" xfId="3409" xr:uid="{00000000-0005-0000-0000-0000A2140000}"/>
    <cellStyle name="Normal 9 2 2 2 2 3" xfId="2059" xr:uid="{00000000-0005-0000-0000-0000A3140000}"/>
    <cellStyle name="Normal 9 2 2 2 2 3 2" xfId="5424" xr:uid="{00000000-0005-0000-0000-0000A4140000}"/>
    <cellStyle name="Normal 9 2 2 2 2 4" xfId="4022" xr:uid="{00000000-0005-0000-0000-0000A5140000}"/>
    <cellStyle name="Normal 9 2 2 2 2 5" xfId="2741" xr:uid="{00000000-0005-0000-0000-0000A6140000}"/>
    <cellStyle name="Normal 9 2 2 2 3" xfId="1027" xr:uid="{00000000-0005-0000-0000-0000A7140000}"/>
    <cellStyle name="Normal 9 2 2 2 3 2" xfId="4392" xr:uid="{00000000-0005-0000-0000-0000A8140000}"/>
    <cellStyle name="Normal 9 2 2 2 3 3" xfId="3408" xr:uid="{00000000-0005-0000-0000-0000A9140000}"/>
    <cellStyle name="Normal 9 2 2 2 4" xfId="2060" xr:uid="{00000000-0005-0000-0000-0000AA140000}"/>
    <cellStyle name="Normal 9 2 2 2 4 2" xfId="5425" xr:uid="{00000000-0005-0000-0000-0000AB140000}"/>
    <cellStyle name="Normal 9 2 2 2 5" xfId="3722" xr:uid="{00000000-0005-0000-0000-0000AC140000}"/>
    <cellStyle name="Normal 9 2 2 2 6" xfId="2740" xr:uid="{00000000-0005-0000-0000-0000AD140000}"/>
    <cellStyle name="Normal 9 2 2 3" xfId="504" xr:uid="{00000000-0005-0000-0000-0000AE140000}"/>
    <cellStyle name="Normal 9 2 2 3 2" xfId="1177" xr:uid="{00000000-0005-0000-0000-0000AF140000}"/>
    <cellStyle name="Normal 9 2 2 3 2 2" xfId="4542" xr:uid="{00000000-0005-0000-0000-0000B0140000}"/>
    <cellStyle name="Normal 9 2 2 3 2 3" xfId="3410" xr:uid="{00000000-0005-0000-0000-0000B1140000}"/>
    <cellStyle name="Normal 9 2 2 3 3" xfId="2061" xr:uid="{00000000-0005-0000-0000-0000B2140000}"/>
    <cellStyle name="Normal 9 2 2 3 3 2" xfId="5426" xr:uid="{00000000-0005-0000-0000-0000B3140000}"/>
    <cellStyle name="Normal 9 2 2 3 4" xfId="3872" xr:uid="{00000000-0005-0000-0000-0000B4140000}"/>
    <cellStyle name="Normal 9 2 2 3 5" xfId="2742" xr:uid="{00000000-0005-0000-0000-0000B5140000}"/>
    <cellStyle name="Normal 9 2 2 4" xfId="877" xr:uid="{00000000-0005-0000-0000-0000B6140000}"/>
    <cellStyle name="Normal 9 2 2 4 2" xfId="4242" xr:uid="{00000000-0005-0000-0000-0000B7140000}"/>
    <cellStyle name="Normal 9 2 2 4 3" xfId="3407" xr:uid="{00000000-0005-0000-0000-0000B8140000}"/>
    <cellStyle name="Normal 9 2 2 5" xfId="2062" xr:uid="{00000000-0005-0000-0000-0000B9140000}"/>
    <cellStyle name="Normal 9 2 2 5 2" xfId="5427" xr:uid="{00000000-0005-0000-0000-0000BA140000}"/>
    <cellStyle name="Normal 9 2 2 6" xfId="3572" xr:uid="{00000000-0005-0000-0000-0000BB140000}"/>
    <cellStyle name="Normal 9 2 2 7" xfId="2739" xr:uid="{00000000-0005-0000-0000-0000BC140000}"/>
    <cellStyle name="Normal 9 2 3" xfId="279" xr:uid="{00000000-0005-0000-0000-0000BD140000}"/>
    <cellStyle name="Normal 9 2 3 2" xfId="579" xr:uid="{00000000-0005-0000-0000-0000BE140000}"/>
    <cellStyle name="Normal 9 2 3 2 2" xfId="1252" xr:uid="{00000000-0005-0000-0000-0000BF140000}"/>
    <cellStyle name="Normal 9 2 3 2 2 2" xfId="4617" xr:uid="{00000000-0005-0000-0000-0000C0140000}"/>
    <cellStyle name="Normal 9 2 3 2 2 3" xfId="3412" xr:uid="{00000000-0005-0000-0000-0000C1140000}"/>
    <cellStyle name="Normal 9 2 3 2 3" xfId="2063" xr:uid="{00000000-0005-0000-0000-0000C2140000}"/>
    <cellStyle name="Normal 9 2 3 2 3 2" xfId="5428" xr:uid="{00000000-0005-0000-0000-0000C3140000}"/>
    <cellStyle name="Normal 9 2 3 2 4" xfId="3947" xr:uid="{00000000-0005-0000-0000-0000C4140000}"/>
    <cellStyle name="Normal 9 2 3 2 5" xfId="2744" xr:uid="{00000000-0005-0000-0000-0000C5140000}"/>
    <cellStyle name="Normal 9 2 3 3" xfId="952" xr:uid="{00000000-0005-0000-0000-0000C6140000}"/>
    <cellStyle name="Normal 9 2 3 3 2" xfId="4317" xr:uid="{00000000-0005-0000-0000-0000C7140000}"/>
    <cellStyle name="Normal 9 2 3 3 3" xfId="3411" xr:uid="{00000000-0005-0000-0000-0000C8140000}"/>
    <cellStyle name="Normal 9 2 3 4" xfId="2064" xr:uid="{00000000-0005-0000-0000-0000C9140000}"/>
    <cellStyle name="Normal 9 2 3 4 2" xfId="5429" xr:uid="{00000000-0005-0000-0000-0000CA140000}"/>
    <cellStyle name="Normal 9 2 3 5" xfId="3647" xr:uid="{00000000-0005-0000-0000-0000CB140000}"/>
    <cellStyle name="Normal 9 2 3 6" xfId="2743" xr:uid="{00000000-0005-0000-0000-0000CC140000}"/>
    <cellStyle name="Normal 9 2 4" xfId="429" xr:uid="{00000000-0005-0000-0000-0000CD140000}"/>
    <cellStyle name="Normal 9 2 4 2" xfId="1102" xr:uid="{00000000-0005-0000-0000-0000CE140000}"/>
    <cellStyle name="Normal 9 2 4 2 2" xfId="4467" xr:uid="{00000000-0005-0000-0000-0000CF140000}"/>
    <cellStyle name="Normal 9 2 4 2 3" xfId="3413" xr:uid="{00000000-0005-0000-0000-0000D0140000}"/>
    <cellStyle name="Normal 9 2 4 3" xfId="2065" xr:uid="{00000000-0005-0000-0000-0000D1140000}"/>
    <cellStyle name="Normal 9 2 4 3 2" xfId="5430" xr:uid="{00000000-0005-0000-0000-0000D2140000}"/>
    <cellStyle name="Normal 9 2 4 4" xfId="3797" xr:uid="{00000000-0005-0000-0000-0000D3140000}"/>
    <cellStyle name="Normal 9 2 4 5" xfId="2745" xr:uid="{00000000-0005-0000-0000-0000D4140000}"/>
    <cellStyle name="Normal 9 2 5" xfId="715" xr:uid="{00000000-0005-0000-0000-0000D5140000}"/>
    <cellStyle name="Normal 9 2 5 2" xfId="1388" xr:uid="{00000000-0005-0000-0000-0000D6140000}"/>
    <cellStyle name="Normal 9 2 5 2 2" xfId="4753" xr:uid="{00000000-0005-0000-0000-0000D7140000}"/>
    <cellStyle name="Normal 9 2 5 2 3" xfId="3414" xr:uid="{00000000-0005-0000-0000-0000D8140000}"/>
    <cellStyle name="Normal 9 2 5 3" xfId="2066" xr:uid="{00000000-0005-0000-0000-0000D9140000}"/>
    <cellStyle name="Normal 9 2 5 3 2" xfId="5431" xr:uid="{00000000-0005-0000-0000-0000DA140000}"/>
    <cellStyle name="Normal 9 2 5 4" xfId="4083" xr:uid="{00000000-0005-0000-0000-0000DB140000}"/>
    <cellStyle name="Normal 9 2 5 5" xfId="2746" xr:uid="{00000000-0005-0000-0000-0000DC140000}"/>
    <cellStyle name="Normal 9 2 6" xfId="802" xr:uid="{00000000-0005-0000-0000-0000DD140000}"/>
    <cellStyle name="Normal 9 2 6 2" xfId="4167" xr:uid="{00000000-0005-0000-0000-0000DE140000}"/>
    <cellStyle name="Normal 9 2 6 3" xfId="2815" xr:uid="{00000000-0005-0000-0000-0000DF140000}"/>
    <cellStyle name="Normal 9 2 7" xfId="2067" xr:uid="{00000000-0005-0000-0000-0000E0140000}"/>
    <cellStyle name="Normal 9 2 7 2" xfId="5432" xr:uid="{00000000-0005-0000-0000-0000E1140000}"/>
    <cellStyle name="Normal 9 2 8" xfId="3497" xr:uid="{00000000-0005-0000-0000-0000E2140000}"/>
    <cellStyle name="Normal 9 2 9" xfId="2144" xr:uid="{00000000-0005-0000-0000-0000E3140000}"/>
    <cellStyle name="Normal 9 3" xfId="201" xr:uid="{00000000-0005-0000-0000-0000E4140000}"/>
    <cellStyle name="Normal 9 3 2" xfId="351" xr:uid="{00000000-0005-0000-0000-0000E5140000}"/>
    <cellStyle name="Normal 9 3 2 2" xfId="651" xr:uid="{00000000-0005-0000-0000-0000E6140000}"/>
    <cellStyle name="Normal 9 3 2 2 2" xfId="1324" xr:uid="{00000000-0005-0000-0000-0000E7140000}"/>
    <cellStyle name="Normal 9 3 2 2 2 2" xfId="4689" xr:uid="{00000000-0005-0000-0000-0000E8140000}"/>
    <cellStyle name="Normal 9 3 2 2 2 3" xfId="3417" xr:uid="{00000000-0005-0000-0000-0000E9140000}"/>
    <cellStyle name="Normal 9 3 2 2 3" xfId="2068" xr:uid="{00000000-0005-0000-0000-0000EA140000}"/>
    <cellStyle name="Normal 9 3 2 2 3 2" xfId="5433" xr:uid="{00000000-0005-0000-0000-0000EB140000}"/>
    <cellStyle name="Normal 9 3 2 2 4" xfId="4019" xr:uid="{00000000-0005-0000-0000-0000EC140000}"/>
    <cellStyle name="Normal 9 3 2 2 5" xfId="2749" xr:uid="{00000000-0005-0000-0000-0000ED140000}"/>
    <cellStyle name="Normal 9 3 2 3" xfId="1024" xr:uid="{00000000-0005-0000-0000-0000EE140000}"/>
    <cellStyle name="Normal 9 3 2 3 2" xfId="4389" xr:uid="{00000000-0005-0000-0000-0000EF140000}"/>
    <cellStyle name="Normal 9 3 2 3 3" xfId="3416" xr:uid="{00000000-0005-0000-0000-0000F0140000}"/>
    <cellStyle name="Normal 9 3 2 4" xfId="2069" xr:uid="{00000000-0005-0000-0000-0000F1140000}"/>
    <cellStyle name="Normal 9 3 2 4 2" xfId="5434" xr:uid="{00000000-0005-0000-0000-0000F2140000}"/>
    <cellStyle name="Normal 9 3 2 5" xfId="3719" xr:uid="{00000000-0005-0000-0000-0000F3140000}"/>
    <cellStyle name="Normal 9 3 2 6" xfId="2748" xr:uid="{00000000-0005-0000-0000-0000F4140000}"/>
    <cellStyle name="Normal 9 3 3" xfId="501" xr:uid="{00000000-0005-0000-0000-0000F5140000}"/>
    <cellStyle name="Normal 9 3 3 2" xfId="1174" xr:uid="{00000000-0005-0000-0000-0000F6140000}"/>
    <cellStyle name="Normal 9 3 3 2 2" xfId="4539" xr:uid="{00000000-0005-0000-0000-0000F7140000}"/>
    <cellStyle name="Normal 9 3 3 2 3" xfId="3418" xr:uid="{00000000-0005-0000-0000-0000F8140000}"/>
    <cellStyle name="Normal 9 3 3 3" xfId="2070" xr:uid="{00000000-0005-0000-0000-0000F9140000}"/>
    <cellStyle name="Normal 9 3 3 3 2" xfId="5435" xr:uid="{00000000-0005-0000-0000-0000FA140000}"/>
    <cellStyle name="Normal 9 3 3 4" xfId="3869" xr:uid="{00000000-0005-0000-0000-0000FB140000}"/>
    <cellStyle name="Normal 9 3 3 5" xfId="2750" xr:uid="{00000000-0005-0000-0000-0000FC140000}"/>
    <cellStyle name="Normal 9 3 4" xfId="874" xr:uid="{00000000-0005-0000-0000-0000FD140000}"/>
    <cellStyle name="Normal 9 3 4 2" xfId="4239" xr:uid="{00000000-0005-0000-0000-0000FE140000}"/>
    <cellStyle name="Normal 9 3 4 3" xfId="3415" xr:uid="{00000000-0005-0000-0000-0000FF140000}"/>
    <cellStyle name="Normal 9 3 5" xfId="2071" xr:uid="{00000000-0005-0000-0000-000000150000}"/>
    <cellStyle name="Normal 9 3 5 2" xfId="5436" xr:uid="{00000000-0005-0000-0000-000001150000}"/>
    <cellStyle name="Normal 9 3 6" xfId="3569" xr:uid="{00000000-0005-0000-0000-000002150000}"/>
    <cellStyle name="Normal 9 3 7" xfId="2747" xr:uid="{00000000-0005-0000-0000-000003150000}"/>
    <cellStyle name="Normal 9 4" xfId="276" xr:uid="{00000000-0005-0000-0000-000004150000}"/>
    <cellStyle name="Normal 9 4 2" xfId="576" xr:uid="{00000000-0005-0000-0000-000005150000}"/>
    <cellStyle name="Normal 9 4 2 2" xfId="1249" xr:uid="{00000000-0005-0000-0000-000006150000}"/>
    <cellStyle name="Normal 9 4 2 2 2" xfId="4614" xr:uid="{00000000-0005-0000-0000-000007150000}"/>
    <cellStyle name="Normal 9 4 2 2 3" xfId="3420" xr:uid="{00000000-0005-0000-0000-000008150000}"/>
    <cellStyle name="Normal 9 4 2 3" xfId="2072" xr:uid="{00000000-0005-0000-0000-000009150000}"/>
    <cellStyle name="Normal 9 4 2 3 2" xfId="5437" xr:uid="{00000000-0005-0000-0000-00000A150000}"/>
    <cellStyle name="Normal 9 4 2 4" xfId="3944" xr:uid="{00000000-0005-0000-0000-00000B150000}"/>
    <cellStyle name="Normal 9 4 2 5" xfId="2752" xr:uid="{00000000-0005-0000-0000-00000C150000}"/>
    <cellStyle name="Normal 9 4 3" xfId="949" xr:uid="{00000000-0005-0000-0000-00000D150000}"/>
    <cellStyle name="Normal 9 4 3 2" xfId="4314" xr:uid="{00000000-0005-0000-0000-00000E150000}"/>
    <cellStyle name="Normal 9 4 3 3" xfId="3419" xr:uid="{00000000-0005-0000-0000-00000F150000}"/>
    <cellStyle name="Normal 9 4 4" xfId="2073" xr:uid="{00000000-0005-0000-0000-000010150000}"/>
    <cellStyle name="Normal 9 4 4 2" xfId="5438" xr:uid="{00000000-0005-0000-0000-000011150000}"/>
    <cellStyle name="Normal 9 4 5" xfId="3644" xr:uid="{00000000-0005-0000-0000-000012150000}"/>
    <cellStyle name="Normal 9 4 6" xfId="2751" xr:uid="{00000000-0005-0000-0000-000013150000}"/>
    <cellStyle name="Normal 9 5" xfId="426" xr:uid="{00000000-0005-0000-0000-000014150000}"/>
    <cellStyle name="Normal 9 5 2" xfId="1099" xr:uid="{00000000-0005-0000-0000-000015150000}"/>
    <cellStyle name="Normal 9 5 2 2" xfId="4464" xr:uid="{00000000-0005-0000-0000-000016150000}"/>
    <cellStyle name="Normal 9 5 2 3" xfId="3421" xr:uid="{00000000-0005-0000-0000-000017150000}"/>
    <cellStyle name="Normal 9 5 3" xfId="2074" xr:uid="{00000000-0005-0000-0000-000018150000}"/>
    <cellStyle name="Normal 9 5 3 2" xfId="5439" xr:uid="{00000000-0005-0000-0000-000019150000}"/>
    <cellStyle name="Normal 9 5 4" xfId="3794" xr:uid="{00000000-0005-0000-0000-00001A150000}"/>
    <cellStyle name="Normal 9 5 5" xfId="2753" xr:uid="{00000000-0005-0000-0000-00001B150000}"/>
    <cellStyle name="Normal 9 6" xfId="712" xr:uid="{00000000-0005-0000-0000-00001C150000}"/>
    <cellStyle name="Normal 9 6 2" xfId="1385" xr:uid="{00000000-0005-0000-0000-00001D150000}"/>
    <cellStyle name="Normal 9 6 2 2" xfId="4750" xr:uid="{00000000-0005-0000-0000-00001E150000}"/>
    <cellStyle name="Normal 9 6 2 3" xfId="3422" xr:uid="{00000000-0005-0000-0000-00001F150000}"/>
    <cellStyle name="Normal 9 6 3" xfId="2075" xr:uid="{00000000-0005-0000-0000-000020150000}"/>
    <cellStyle name="Normal 9 6 3 2" xfId="5440" xr:uid="{00000000-0005-0000-0000-000021150000}"/>
    <cellStyle name="Normal 9 6 4" xfId="4080" xr:uid="{00000000-0005-0000-0000-000022150000}"/>
    <cellStyle name="Normal 9 6 5" xfId="2754" xr:uid="{00000000-0005-0000-0000-000023150000}"/>
    <cellStyle name="Normal 9 7" xfId="799" xr:uid="{00000000-0005-0000-0000-000024150000}"/>
    <cellStyle name="Normal 9 7 2" xfId="4164" xr:uid="{00000000-0005-0000-0000-000025150000}"/>
    <cellStyle name="Normal 9 7 3" xfId="2812" xr:uid="{00000000-0005-0000-0000-000026150000}"/>
    <cellStyle name="Normal 9 8" xfId="2076" xr:uid="{00000000-0005-0000-0000-000027150000}"/>
    <cellStyle name="Normal 9 8 2" xfId="5441" xr:uid="{00000000-0005-0000-0000-000028150000}"/>
    <cellStyle name="Normal 9 9" xfId="3494" xr:uid="{00000000-0005-0000-0000-000029150000}"/>
    <cellStyle name="Normal CCT" xfId="12" xr:uid="{00000000-0005-0000-0000-00002A150000}"/>
    <cellStyle name="Normal CCT 2" xfId="13" xr:uid="{00000000-0005-0000-0000-00002B150000}"/>
    <cellStyle name="Normal CCT 3" xfId="14" xr:uid="{00000000-0005-0000-0000-00002C150000}"/>
    <cellStyle name="Normal CCT 4" xfId="15" xr:uid="{00000000-0005-0000-0000-00002D150000}"/>
    <cellStyle name="Normal CCT 5" xfId="16" xr:uid="{00000000-0005-0000-0000-00002E150000}"/>
    <cellStyle name="Normal CCT 6" xfId="17" xr:uid="{00000000-0005-0000-0000-00002F150000}"/>
    <cellStyle name="Percent" xfId="2077" xr:uid="{00000000-0005-0000-0000-000030150000}"/>
    <cellStyle name="Percent 2" xfId="5446" xr:uid="{00000000-0005-0000-0000-000031150000}"/>
    <cellStyle name="Pourcentage 2" xfId="76" xr:uid="{00000000-0005-0000-0000-000032150000}"/>
    <cellStyle name="Pourcentage 3" xfId="5447" xr:uid="{00000000-0005-0000-0000-000033150000}"/>
    <cellStyle name="Pourcentage 4" xfId="5448" xr:uid="{00000000-0005-0000-0000-000034150000}"/>
    <cellStyle name="Satisfaisant 2" xfId="52" xr:uid="{00000000-0005-0000-0000-000035150000}"/>
    <cellStyle name="Sortie 2" xfId="53" xr:uid="{00000000-0005-0000-0000-000036150000}"/>
    <cellStyle name="Sortie 2 2" xfId="1405" xr:uid="{00000000-0005-0000-0000-000037150000}"/>
    <cellStyle name="Sortie 2 2 2" xfId="4770" xr:uid="{00000000-0005-0000-0000-000038150000}"/>
    <cellStyle name="Sortie 2 3" xfId="1406" xr:uid="{00000000-0005-0000-0000-000039150000}"/>
    <cellStyle name="Sortie 2 3 2" xfId="4771" xr:uid="{00000000-0005-0000-0000-00003A150000}"/>
    <cellStyle name="Sortie 2 4" xfId="2092" xr:uid="{00000000-0005-0000-0000-00003B150000}"/>
    <cellStyle name="Texte explicatif 2" xfId="54" xr:uid="{00000000-0005-0000-0000-00003C150000}"/>
    <cellStyle name="Titre 2" xfId="55" xr:uid="{00000000-0005-0000-0000-00003D150000}"/>
    <cellStyle name="Titre 1 2" xfId="56" xr:uid="{00000000-0005-0000-0000-00003E150000}"/>
    <cellStyle name="Titre 2 2" xfId="57" xr:uid="{00000000-0005-0000-0000-00003F150000}"/>
    <cellStyle name="Titre 3 2" xfId="58" xr:uid="{00000000-0005-0000-0000-000040150000}"/>
    <cellStyle name="Titre 4 2" xfId="59" xr:uid="{00000000-0005-0000-0000-000041150000}"/>
    <cellStyle name="Total 2" xfId="60" xr:uid="{00000000-0005-0000-0000-000042150000}"/>
    <cellStyle name="Total 2 2" xfId="1407" xr:uid="{00000000-0005-0000-0000-000043150000}"/>
    <cellStyle name="Total 2 2 2" xfId="4772" xr:uid="{00000000-0005-0000-0000-000044150000}"/>
    <cellStyle name="Total 2 3" xfId="1408" xr:uid="{00000000-0005-0000-0000-000045150000}"/>
    <cellStyle name="Total 2 3 2" xfId="4773" xr:uid="{00000000-0005-0000-0000-000046150000}"/>
    <cellStyle name="Total 2 4" xfId="2093" xr:uid="{00000000-0005-0000-0000-000047150000}"/>
    <cellStyle name="Vérification 2" xfId="61" xr:uid="{00000000-0005-0000-0000-000048150000}"/>
  </cellStyles>
  <dxfs count="50">
    <dxf>
      <font>
        <b val="0"/>
        <i val="0"/>
        <strike val="0"/>
        <condense val="0"/>
        <extend val="0"/>
        <outline val="0"/>
        <shadow val="0"/>
        <u val="none"/>
        <vertAlign val="baseline"/>
        <sz val="10"/>
        <color auto="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scheme val="none"/>
      </font>
      <alignment horizontal="general" vertical="center" textRotation="0" wrapText="1"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0"/>
        <color auto="1"/>
        <name val="Arial"/>
        <scheme val="none"/>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auto="1"/>
        <name val="Arial"/>
        <scheme val="none"/>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auto="1"/>
        <name val="Arial"/>
        <scheme val="none"/>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auto="1"/>
        <name val="Arial"/>
        <scheme val="none"/>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auto="1"/>
        <name val="Arial"/>
        <scheme val="none"/>
      </font>
      <alignment horizontal="general" vertical="center" textRotation="0" wrapText="1" indent="0" justifyLastLine="0" shrinkToFit="0" readingOrder="0"/>
      <border diagonalUp="0" diagonalDown="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auto="1"/>
        <name val="Arial"/>
        <scheme val="none"/>
      </font>
      <numFmt numFmtId="0" formatCode="General"/>
      <alignment horizontal="general" vertical="center" textRotation="0" wrapText="1"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auto="1"/>
        <name val="Arial"/>
        <scheme val="none"/>
      </font>
      <alignment horizontal="general" vertical="center" textRotation="0" wrapText="1" indent="0" justifyLastLine="0" shrinkToFit="0" readingOrder="0"/>
    </dxf>
    <dxf>
      <font>
        <b/>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rgb="FF000000"/>
        </left>
        <right style="thin">
          <color rgb="FF000000"/>
        </right>
        <top/>
        <bottom/>
      </border>
    </dxf>
    <dxf>
      <font>
        <b/>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thin">
          <color rgb="FF000000"/>
        </left>
        <right/>
        <top style="thin">
          <color rgb="FF000000"/>
        </top>
        <bottom/>
        <vertical/>
        <horizontal/>
      </border>
    </dxf>
    <dxf>
      <font>
        <b/>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thin">
          <color rgb="FF000000"/>
        </left>
        <right style="thin">
          <color rgb="FF000000"/>
        </right>
        <top style="thin">
          <color rgb="FF000000"/>
        </top>
        <bottom/>
        <vertical/>
        <horizontal/>
      </border>
    </dxf>
    <dxf>
      <font>
        <b/>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thin">
          <color rgb="FF000000"/>
        </left>
        <right style="thin">
          <color rgb="FF000000"/>
        </right>
        <top style="thin">
          <color rgb="FF000000"/>
        </top>
        <bottom/>
        <vertical/>
        <horizontal/>
      </border>
    </dxf>
    <dxf>
      <font>
        <b/>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right style="thin">
          <color rgb="FF000000"/>
        </right>
        <top style="thin">
          <color rgb="FF000000"/>
        </top>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rgb="FF000000"/>
        </left>
        <right style="thin">
          <color rgb="FF000000"/>
        </right>
        <top/>
        <bottom/>
      </border>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49"/>
      <tableStyleElement type="headerRow" dxfId="48"/>
    </tableStyle>
  </tableStyles>
  <colors>
    <mruColors>
      <color rgb="FFE2CFF1"/>
      <color rgb="FFFFFF99"/>
      <color rgb="FFFF6632"/>
      <color rgb="FFFECECE"/>
      <color rgb="FFB7B7FF"/>
      <color rgb="FFFF99FF"/>
      <color rgb="FFFFE79B"/>
      <color rgb="FFFF9966"/>
      <color rgb="FFFF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metadata.xml" Type="http://schemas.openxmlformats.org/officeDocument/2006/relationships/sheetMetadata"/><Relationship Id="rId12" Target="../customXml/item1.xml" Type="http://schemas.openxmlformats.org/officeDocument/2006/relationships/customXml"/><Relationship Id="rId13" Target="../customXml/item2.xml" Type="http://schemas.openxmlformats.org/officeDocument/2006/relationships/customXml"/><Relationship Id="rId14" Target="../customXml/item3.xml" Type="http://schemas.openxmlformats.org/officeDocument/2006/relationships/customXml"/><Relationship Id="rId15" Target="vbaProject.bin" Type="http://schemas.microsoft.com/office/2006/relationships/vbaProject"/><Relationship Id="rId16" Target="worksheets/sheet151.xml" Type="http://schemas.openxmlformats.org/officeDocument/2006/relationships/worksheet"/><Relationship Id="rId2" Target="worksheets/sheet2.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theme/theme1.xml" Type="http://schemas.openxmlformats.org/officeDocument/2006/relationships/theme"/><Relationship Id="rId8" Target="styles.xml" Type="http://schemas.openxmlformats.org/officeDocument/2006/relationships/styles"/><Relationship Id="rId9" Target="sharedStrings.xml" Type="http://schemas.openxmlformats.org/officeDocument/2006/relationships/sharedStrings"/></Relationships>
</file>

<file path=xl/ctrlProps/ctrlProp1.xml><?xml version="1.0" encoding="utf-8"?>
<formControlPr xmlns="http://schemas.microsoft.com/office/spreadsheetml/2009/9/main" objectType="Button" lockText="1"/>
</file>

<file path=xl/drawings/_rels/drawing1.xml.rels><?xml version="1.0" encoding="UTF-8" standalone="no"?><Relationships xmlns="http://schemas.openxmlformats.org/package/2006/relationships"><Relationship Id="rId1" Target="../media/image1.png" Type="http://schemas.openxmlformats.org/officeDocument/2006/relationships/image"/></Relationships>
</file>

<file path=xl/drawings/_rels/drawing3.xml.rels><?xml version="1.0" encoding="UTF-8" standalone="no"?><Relationships xmlns="http://schemas.openxmlformats.org/package/2006/relationships"><Relationship Id="rId1" Target="../media/image3.png" Type="http://schemas.openxmlformats.org/officeDocument/2006/relationships/image"/></Relationships>
</file>

<file path=xl/drawings/_rels/vmlDrawing2.vml.rels><?xml version="1.0" encoding="UTF-8" standalone="no"?><Relationships xmlns="http://schemas.openxmlformats.org/package/2006/relationships"><Relationship Id="rId1" Target="../media/image2.png" Type="http://schemas.openxmlformats.org/officeDocument/2006/relationships/image"/></Relationships>
</file>

<file path=xl/drawings/_rels/vmlDrawing4.vml.rels><?xml version="1.0" encoding="UTF-8" standalone="no"?><Relationships xmlns="http://schemas.openxmlformats.org/package/2006/relationships"><Relationship Id="rId1" Target="../media/image2.png"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161925</xdr:colOff>
          <xdr:row>7</xdr:row>
          <xdr:rowOff>0</xdr:rowOff>
        </xdr:from>
        <xdr:to>
          <xdr:col>5</xdr:col>
          <xdr:colOff>523875</xdr:colOff>
          <xdr:row>7</xdr:row>
          <xdr:rowOff>276225</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000-0000014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Index regeneration</a:t>
              </a:r>
            </a:p>
          </xdr:txBody>
        </xdr:sp>
        <xdr:clientData fPrintsWithSheet="0"/>
      </xdr:twoCellAnchor>
    </mc:Choice>
    <mc:Fallback/>
  </mc:AlternateContent>
  <xdr:twoCellAnchor editAs="oneCell">
    <xdr:from>
      <xdr:col>3</xdr:col>
      <xdr:colOff>3507441</xdr:colOff>
      <xdr:row>2</xdr:row>
      <xdr:rowOff>44825</xdr:rowOff>
    </xdr:from>
    <xdr:to>
      <xdr:col>3</xdr:col>
      <xdr:colOff>4134126</xdr:colOff>
      <xdr:row>3</xdr:row>
      <xdr:rowOff>369794</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060391" y="311525"/>
          <a:ext cx="626685" cy="65834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190425</xdr:colOff>
      <xdr:row>1</xdr:row>
      <xdr:rowOff>114162</xdr:rowOff>
    </xdr:from>
    <xdr:to>
      <xdr:col>10</xdr:col>
      <xdr:colOff>1103625</xdr:colOff>
      <xdr:row>4</xdr:row>
      <xdr:rowOff>368682</xdr:rowOff>
    </xdr:to>
    <xdr:pic>
      <xdr:nvPicPr>
        <xdr:cNvPr id="2" name="Imag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656644" y="280850"/>
          <a:ext cx="913200" cy="897457"/>
        </a:xfrm>
        <a:prstGeom prst="rect">
          <a:avLst/>
        </a:prstGeom>
      </xdr:spPr>
    </xdr:pic>
    <xdr:clientData/>
  </xdr:twoCellAnchor>
  <xdr:oneCellAnchor>
    <xdr:from>
      <xdr:col>10</xdr:col>
      <xdr:colOff>1131093</xdr:colOff>
      <xdr:row>4</xdr:row>
      <xdr:rowOff>59532</xdr:rowOff>
    </xdr:from>
    <xdr:ext cx="1344706" cy="264560"/>
    <xdr:sp macro="" textlink="">
      <xdr:nvSpPr>
        <xdr:cNvPr id="4" name="ZoneTexte 3">
          <a:extLst>
            <a:ext uri="{FF2B5EF4-FFF2-40B4-BE49-F238E27FC236}">
              <a16:creationId xmlns:a16="http://schemas.microsoft.com/office/drawing/2014/main" id="{00000000-0008-0000-0200-000004000000}"/>
            </a:ext>
          </a:extLst>
        </xdr:cNvPr>
        <xdr:cNvSpPr txBox="1"/>
      </xdr:nvSpPr>
      <xdr:spPr>
        <a:xfrm>
          <a:off x="16942593" y="869157"/>
          <a:ext cx="134470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i="1"/>
            <a:t>Powered by FAST</a:t>
          </a:r>
        </a:p>
      </xdr:txBody>
    </xdr:sp>
    <xdr:clientData/>
  </xdr:oneCellAnchor>
</xdr:wsDr>
</file>

<file path=xl/drawings/drawing4.xml><?xml version="1.0" encoding="utf-8"?>
<xdr:wsDr xmlns:xdr="http://schemas.openxmlformats.org/drawingml/2006/spreadsheetDrawing"/>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au1" displayName="Tableau1" ref="A1:D41" insertRowShift="1" totalsRowShown="0" headerRowDxfId="23" headerRowBorderDxfId="22" tableBorderDxfId="21" totalsRowBorderDxfId="20">
  <autoFilter ref="A1:D41" xr:uid="{00000000-0009-0000-0100-000001000000}"/>
  <sortState xmlns:xlrd2="http://schemas.microsoft.com/office/spreadsheetml/2017/richdata2" ref="A2:D171">
    <sortCondition ref="A1:A171"/>
  </sortState>
  <tableColumns count="4">
    <tableColumn id="1" xr3:uid="{00000000-0010-0000-0000-000001000000}" name="Canonical Name for java.nio API" dataDxfId="19"/>
    <tableColumn id="2" xr3:uid="{00000000-0010-0000-0000-000002000000}" name="Canonical Name for java.io API and java.lang API" dataDxfId="18"/>
    <tableColumn id="3" xr3:uid="{00000000-0010-0000-0000-000003000000}" name="Alias or Aliases" dataDxfId="17"/>
    <tableColumn id="4" xr3:uid="{00000000-0010-0000-0000-000004000000}" name="Description" dataDxfId="16"/>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F1:F12" totalsRowShown="0">
  <autoFilter ref="F1:F12" xr:uid="{00000000-0009-0000-0100-000002000000}"/>
  <sortState xmlns:xlrd2="http://schemas.microsoft.com/office/spreadsheetml/2017/richdata2" ref="F2:F11">
    <sortCondition ref="F2:F11"/>
  </sortState>
  <tableColumns count="1">
    <tableColumn id="1" xr3:uid="{00000000-0010-0000-0100-000001000000}" name="Formats Fil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au3" displayName="Tableau3" ref="H1:N118" totalsRowShown="0" headerRowDxfId="15" dataDxfId="14" tableBorderDxfId="13">
  <tableColumns count="7">
    <tableColumn id="1" xr3:uid="{00000000-0010-0000-0200-000001000000}" name="Concat" dataDxfId="12">
      <calculatedColumnFormula>IF(Tableau3[[#This Row],[Language]]&lt;&gt;"",Tableau3[[#This Row],[Language]]&amp;" - "&amp;Tableau3[[#This Row],[Country]],"")</calculatedColumnFormula>
    </tableColumn>
    <tableColumn id="7" xr3:uid="{00000000-0010-0000-0200-000007000000}" name="Language" dataDxfId="11"/>
    <tableColumn id="2" xr3:uid="{00000000-0010-0000-0200-000002000000}" name="Country" dataDxfId="10"/>
    <tableColumn id="3" xr3:uid="{00000000-0010-0000-0200-000003000000}" name="Variant" dataDxfId="9"/>
    <tableColumn id="4" xr3:uid="{00000000-0010-0000-0200-000004000000}" name="Script" dataDxfId="8"/>
    <tableColumn id="5" xr3:uid="{00000000-0010-0000-0200-000005000000}" name="Language Tag" dataDxfId="7"/>
    <tableColumn id="6" xr3:uid="{00000000-0010-0000-0200-000006000000}" name="Note" dataDxfId="6"/>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FADC63-CA18-428F-811C-C38A44A238DD}" name="Table4" displayName="Table4" ref="P1:S53" totalsRowShown="0" headerRowDxfId="5" dataDxfId="4">
  <autoFilter ref="P1:S53" xr:uid="{11FADC63-CA18-428F-811C-C38A44A238DD}">
    <filterColumn colId="0" hiddenButton="1"/>
    <filterColumn colId="1" hiddenButton="1"/>
    <filterColumn colId="2" hiddenButton="1"/>
    <filterColumn colId="3" hiddenButton="1"/>
  </autoFilter>
  <tableColumns count="4">
    <tableColumn id="1" xr3:uid="{3FC498B9-5869-438D-9744-4F44B38514F3}" name="Concat" dataDxfId="3">
      <calculatedColumnFormula>IF(Table4[[#This Row],[Description]]&lt;&gt;"",Table4[[#This Row],[Time Zone Zone Offset]]&amp;" - "&amp;Table4[[#This Row],[Description]],Table4[[#This Row],[Time Zone Zone Offset]])</calculatedColumnFormula>
    </tableColumn>
    <tableColumn id="2" xr3:uid="{E6BE20BA-AA27-401E-81DE-F39AF0E77977}" name="Time Zone Zone Offset" dataDxfId="2"/>
    <tableColumn id="3" xr3:uid="{A97FA710-48D7-4B76-8E6A-15A76C70604A}" name="Description" dataDxfId="1"/>
    <tableColumn id="4" xr3:uid="{3F605C0C-4294-41F1-BFF0-3C5573DC5FA3}" name="Zone Id" dataDxfId="0"/>
  </tableColumns>
  <tableStyleInfo name="TableStyleMedium9"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drawings/vmlDrawing2.vml" Type="http://schemas.openxmlformats.org/officeDocument/2006/relationships/vmlDrawing"/><Relationship Id="rId5" Target="../ctrlProps/ctrlProp1.xml" Type="http://schemas.openxmlformats.org/officeDocument/2006/relationships/ctrlProp"/><Relationship Id="rId6"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drawings/vmlDrawing4.vml" Type="http://schemas.openxmlformats.org/officeDocument/2006/relationships/vmlDrawing"/><Relationship Id="rId4" Target="../comments2.xml" Type="http://schemas.openxmlformats.org/officeDocument/2006/relationships/comments"/><Relationship Id="rId5" Target="../drawings/drawing4.xml" Type="http://schemas.openxmlformats.org/officeDocument/2006/relationships/drawing"/></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5.bin" Type="http://schemas.openxmlformats.org/officeDocument/2006/relationships/printerSettings"/></Relationships>
</file>

<file path=xl/worksheets/_rels/sheet6.xml.rels><?xml version="1.0" encoding="UTF-8" standalone="no"?><Relationships xmlns="http://schemas.openxmlformats.org/package/2006/relationships"><Relationship Id="rId1" Target="https://www.oracle.com/technetwork/java/javase/java8locales-2095355.html" TargetMode="External" Type="http://schemas.openxmlformats.org/officeDocument/2006/relationships/hyperlink"/><Relationship Id="rId10" Target="https://www.oracle.com/technetwork/java/javase/java8locales-2095355.html" TargetMode="External" Type="http://schemas.openxmlformats.org/officeDocument/2006/relationships/hyperlink"/><Relationship Id="rId11" Target="https://www.oracle.com/technetwork/java/javase/java8locales-2095355.html" TargetMode="External" Type="http://schemas.openxmlformats.org/officeDocument/2006/relationships/hyperlink"/><Relationship Id="rId12" Target="https://www.oracle.com/technetwork/java/javase/java8locales-2095355.html" TargetMode="External" Type="http://schemas.openxmlformats.org/officeDocument/2006/relationships/hyperlink"/><Relationship Id="rId13" Target="https://www.oracle.com/technetwork/java/javase/java8locales-2095355.html" TargetMode="External" Type="http://schemas.openxmlformats.org/officeDocument/2006/relationships/hyperlink"/><Relationship Id="rId14" Target="https://www.oracle.com/technetwork/java/javase/java8locales-2095355.html" TargetMode="External" Type="http://schemas.openxmlformats.org/officeDocument/2006/relationships/hyperlink"/><Relationship Id="rId15" Target="https://www.oracle.com/technetwork/java/javase/java8locales-2095355.html" TargetMode="External" Type="http://schemas.openxmlformats.org/officeDocument/2006/relationships/hyperlink"/><Relationship Id="rId16" Target="https://www.oracle.com/technetwork/java/javase/java8locales-2095355.html" TargetMode="External" Type="http://schemas.openxmlformats.org/officeDocument/2006/relationships/hyperlink"/><Relationship Id="rId17" Target="https://www.oracle.com/technetwork/java/javase/java8locales-2095355.html" TargetMode="External" Type="http://schemas.openxmlformats.org/officeDocument/2006/relationships/hyperlink"/><Relationship Id="rId18" Target="https://www.oracle.com/technetwork/java/javase/java8locales-2095355.html" TargetMode="External" Type="http://schemas.openxmlformats.org/officeDocument/2006/relationships/hyperlink"/><Relationship Id="rId19" Target="https://www.oracle.com/technetwork/java/javase/java8locales-2095355.html" TargetMode="External" Type="http://schemas.openxmlformats.org/officeDocument/2006/relationships/hyperlink"/><Relationship Id="rId2" Target="https://www.oracle.com/technetwork/java/javase/java8locales-2095355.html" TargetMode="External" Type="http://schemas.openxmlformats.org/officeDocument/2006/relationships/hyperlink"/><Relationship Id="rId20" Target="https://www.oracle.com/technetwork/java/javase/java8locales-2095355.html" TargetMode="External" Type="http://schemas.openxmlformats.org/officeDocument/2006/relationships/hyperlink"/><Relationship Id="rId21" Target="https://www.oracle.com/technetwork/java/javase/java8locales-2095355.html" TargetMode="External" Type="http://schemas.openxmlformats.org/officeDocument/2006/relationships/hyperlink"/><Relationship Id="rId22" Target="../printerSettings/printerSettings6.bin" Type="http://schemas.openxmlformats.org/officeDocument/2006/relationships/printerSettings"/><Relationship Id="rId23" Target="../tables/table1.xml" Type="http://schemas.openxmlformats.org/officeDocument/2006/relationships/table"/><Relationship Id="rId24" Target="../tables/table2.xml" Type="http://schemas.openxmlformats.org/officeDocument/2006/relationships/table"/><Relationship Id="rId25" Target="../tables/table3.xml" Type="http://schemas.openxmlformats.org/officeDocument/2006/relationships/table"/><Relationship Id="rId26" Target="../tables/table4.xml" Type="http://schemas.openxmlformats.org/officeDocument/2006/relationships/table"/><Relationship Id="rId3" Target="https://www.oracle.com/technetwork/java/javase/java8locales-2095355.html" TargetMode="External" Type="http://schemas.openxmlformats.org/officeDocument/2006/relationships/hyperlink"/><Relationship Id="rId4" Target="https://www.oracle.com/technetwork/java/javase/java8locales-2095355.html" TargetMode="External" Type="http://schemas.openxmlformats.org/officeDocument/2006/relationships/hyperlink"/><Relationship Id="rId5" Target="https://www.oracle.com/technetwork/java/javase/java8locales-2095355.html" TargetMode="External" Type="http://schemas.openxmlformats.org/officeDocument/2006/relationships/hyperlink"/><Relationship Id="rId6" Target="https://www.oracle.com/technetwork/java/javase/java8locales-2095355.html" TargetMode="External" Type="http://schemas.openxmlformats.org/officeDocument/2006/relationships/hyperlink"/><Relationship Id="rId7" Target="https://www.oracle.com/technetwork/java/javase/java8locales-2095355.html" TargetMode="External" Type="http://schemas.openxmlformats.org/officeDocument/2006/relationships/hyperlink"/><Relationship Id="rId8" Target="https://www.oracle.com/technetwork/java/javase/java8locales-2095355.html" TargetMode="External" Type="http://schemas.openxmlformats.org/officeDocument/2006/relationships/hyperlink"/><Relationship Id="rId9" Target="https://www.oracle.com/technetwork/java/javase/java8locales-2095355.html" TargetMode="External" Type="http://schemas.openxmlformats.org/officeDocument/2006/relationships/hyperlink"/></Relationships>
</file>

<file path=xl/worksheets/_rels/sheet151.xml.rels><?xml version="1.0" encoding="UTF-8" standalone="no"?><Relationships xmlns="http://schemas.openxmlformats.org/package/2006/relationships"><Relationship Id="rId1" Target="../printerSettings/printerSettings3.bin" Type="http://schemas.openxmlformats.org/officeDocument/2006/relationships/printerSettings"/><Relationship Id="rId5" Target="../drawings/drawing3.xml" Type="http://schemas.openxmlformats.org/officeDocument/2006/relationships/drawing"/><Relationship Id="rId6" Target="../comments151.xml" Type="http://schemas.openxmlformats.org/officeDocument/2006/relationships/comments"/><Relationship Id="rId7" Target="../drawings/vmlDrawing6.vml" Type="http://schemas.openxmlformats.org/officeDocument/2006/relationships/vmlDrawing"/></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1">
    <tabColor rgb="FF00B050"/>
    <pageSetUpPr fitToPage="1"/>
  </sheetPr>
  <dimension ref="A1:AD227"/>
  <sheetViews>
    <sheetView showGridLines="0" tabSelected="1" zoomScale="85" zoomScaleNormal="85" workbookViewId="0">
      <selection activeCell="C1" sqref="C1"/>
    </sheetView>
  </sheetViews>
  <sheetFormatPr baseColWidth="10" defaultColWidth="14.85546875" defaultRowHeight="12.75" x14ac:dyDescent="0.2"/>
  <cols>
    <col min="16" max="16384" style="8" width="14.85546875"/>
    <col min="15" max="15" style="8" width="14.85546875" customWidth="true"/>
    <col min="14" max="14" style="8" width="14.85546875" customWidth="true"/>
    <col min="13" max="13" style="8" width="14.85546875" customWidth="true"/>
    <col min="12" max="12" style="8" width="14.85546875" customWidth="true"/>
    <col min="11" max="11" style="8" width="14.85546875" customWidth="true"/>
    <col min="10" max="10" style="8" width="14.85546875" customWidth="true"/>
    <col min="9" max="9" style="8" width="14.85546875" customWidth="true"/>
    <col min="8" max="8" style="8" width="14.85546875" customWidth="true"/>
    <col min="7" max="7" style="8" width="14.85546875" customWidth="true"/>
    <col min="6" max="6" style="8" width="14.85546875" customWidth="true"/>
    <col min="1" max="1" customWidth="true" style="8" width="6.28515625"/>
    <col min="2" max="2" customWidth="true" style="8" width="29.140625"/>
    <col min="3" max="3" customWidth="true" style="8" width="47.140625"/>
    <col min="4" max="4" customWidth="true" style="8" width="62.28515625"/>
    <col min="5" max="5" style="8" width="14.85546875" customWidth="true"/>
  </cols>
  <sheetData>
    <row r="1" spans="1:30" s="103" customFormat="1" x14ac:dyDescent="0.2" ht="12.75" customHeight="true">
      <c r="A1" s="99"/>
      <c r="B1" s="100" t="s">
        <v>194</v>
      </c>
      <c r="C1" s="101" t="s">
        <v>1369</v>
      </c>
      <c r="D1" s="99"/>
      <c r="E1" s="99"/>
      <c r="F1" s="99"/>
      <c r="G1" s="99"/>
      <c r="H1" s="99"/>
      <c r="I1" s="99"/>
      <c r="J1" s="99"/>
      <c r="K1" s="99"/>
      <c r="L1" s="99"/>
      <c r="M1" s="99"/>
      <c r="N1" s="99"/>
      <c r="O1" s="99"/>
      <c r="P1" s="99"/>
      <c r="Q1" s="99"/>
      <c r="R1" s="99"/>
      <c r="S1" s="99"/>
      <c r="T1" s="99"/>
      <c r="U1" s="99"/>
      <c r="V1" s="99"/>
      <c r="W1" s="99"/>
      <c r="X1" s="99"/>
      <c r="Y1" s="99"/>
      <c r="Z1" s="99"/>
      <c r="AA1" s="99"/>
      <c r="AB1" s="99"/>
      <c r="AC1" s="102"/>
    </row>
    <row r="2" spans="1:30" s="107" customFormat="1" ht="8.25" customHeight="true" thickBot="1" x14ac:dyDescent="0.25">
      <c r="A2" s="104"/>
      <c r="B2" s="104"/>
      <c r="C2" s="104"/>
      <c r="D2" s="104"/>
      <c r="E2" s="104"/>
      <c r="F2" s="104"/>
      <c r="G2" s="104"/>
      <c r="H2" s="104"/>
      <c r="I2" s="104"/>
      <c r="J2" s="104"/>
      <c r="K2" s="104"/>
      <c r="L2" s="104"/>
      <c r="M2" s="104"/>
      <c r="N2" s="104"/>
      <c r="O2" s="104"/>
      <c r="P2" s="104"/>
      <c r="Q2" s="104"/>
      <c r="R2" s="104"/>
      <c r="S2" s="104"/>
      <c r="T2" s="104"/>
      <c r="U2" s="104"/>
      <c r="V2" s="104"/>
      <c r="W2" s="104"/>
      <c r="X2" s="104"/>
      <c r="Y2" s="104"/>
      <c r="Z2" s="104"/>
      <c r="AA2" s="104"/>
      <c r="AB2" s="104"/>
      <c r="AC2" s="105"/>
      <c r="AD2" s="106"/>
    </row>
    <row r="3" spans="1:30" s="108" customFormat="1" ht="26.25" customHeight="true" x14ac:dyDescent="0.35">
      <c r="B3" s="306" t="str">
        <f>"Index tab for "&amp;Document!E13&amp;" - "&amp;Document!E14</f>
        <v>Index tab for Dinamo - 29B</v>
      </c>
      <c r="C3" s="307"/>
      <c r="D3" s="307"/>
      <c r="E3" s="307"/>
      <c r="F3" s="307"/>
      <c r="G3" s="307"/>
      <c r="H3" s="307"/>
      <c r="I3" s="307"/>
      <c r="J3" s="307"/>
      <c r="K3" s="307"/>
      <c r="L3" s="307"/>
      <c r="M3" s="308"/>
      <c r="N3" s="109"/>
      <c r="O3" s="109"/>
      <c r="P3" s="109"/>
      <c r="Q3" s="109"/>
      <c r="R3" s="109"/>
      <c r="S3" s="109"/>
      <c r="T3" s="109"/>
      <c r="U3" s="109"/>
      <c r="V3" s="109"/>
      <c r="W3" s="109"/>
      <c r="X3" s="109"/>
      <c r="Y3" s="109"/>
      <c r="Z3" s="109"/>
      <c r="AA3" s="109"/>
      <c r="AB3" s="109"/>
      <c r="AC3" s="312"/>
      <c r="AD3" s="110"/>
    </row>
    <row r="4" spans="1:30" s="111" customFormat="1" ht="31.5" customHeight="true" thickBot="1" x14ac:dyDescent="0.4">
      <c r="B4" s="309"/>
      <c r="C4" s="310"/>
      <c r="D4" s="310"/>
      <c r="E4" s="310"/>
      <c r="F4" s="310"/>
      <c r="G4" s="310"/>
      <c r="H4" s="310"/>
      <c r="I4" s="310"/>
      <c r="J4" s="310"/>
      <c r="K4" s="310"/>
      <c r="L4" s="310"/>
      <c r="M4" s="311"/>
      <c r="N4" s="109"/>
      <c r="O4" s="109"/>
      <c r="P4" s="109"/>
      <c r="Q4" s="109"/>
      <c r="R4" s="109"/>
      <c r="S4" s="109"/>
      <c r="T4" s="109"/>
      <c r="U4" s="109"/>
      <c r="V4" s="109"/>
      <c r="W4" s="109"/>
      <c r="X4" s="109"/>
      <c r="Y4" s="109"/>
      <c r="Z4" s="109"/>
      <c r="AA4" s="109"/>
      <c r="AB4" s="109"/>
      <c r="AC4" s="312"/>
      <c r="AD4" s="112"/>
    </row>
    <row r="5" spans="1:30" s="114" customFormat="1" ht="8.25" customHeight="true" thickBot="1" x14ac:dyDescent="0.25">
      <c r="A5" s="113"/>
      <c r="B5" s="104"/>
      <c r="C5" s="104"/>
      <c r="D5" s="104"/>
      <c r="E5" s="104"/>
      <c r="F5" s="104"/>
      <c r="G5" s="104"/>
      <c r="H5" s="104"/>
      <c r="I5" s="104"/>
      <c r="J5" s="104"/>
      <c r="K5" s="104"/>
      <c r="L5" s="104"/>
      <c r="M5" s="104"/>
      <c r="N5" s="104"/>
      <c r="O5" s="104"/>
      <c r="P5" s="104"/>
      <c r="Q5" s="104"/>
      <c r="R5" s="104"/>
      <c r="S5" s="104"/>
      <c r="T5" s="104"/>
      <c r="U5" s="104"/>
      <c r="V5" s="104"/>
      <c r="W5" s="104"/>
      <c r="X5" s="104"/>
      <c r="Y5" s="104"/>
      <c r="Z5" s="104"/>
      <c r="AA5" s="104"/>
      <c r="AB5" s="104"/>
      <c r="AC5" s="312"/>
      <c r="AD5" s="103"/>
    </row>
    <row r="6" spans="1:30" s="120" customFormat="1" ht="13.5" thickBot="1" x14ac:dyDescent="0.25" customHeight="true">
      <c r="A6" s="115"/>
      <c r="B6" s="116"/>
      <c r="C6" s="116"/>
      <c r="D6" s="116"/>
      <c r="E6" s="116"/>
      <c r="F6" s="116"/>
      <c r="G6" s="116"/>
      <c r="H6" s="116"/>
      <c r="I6" s="116"/>
      <c r="J6" s="117"/>
      <c r="K6" s="118"/>
      <c r="L6" s="118"/>
      <c r="M6" s="118"/>
      <c r="N6" s="118"/>
      <c r="O6" s="118"/>
      <c r="P6" s="118"/>
      <c r="Q6" s="118"/>
      <c r="R6" s="118"/>
      <c r="S6" s="118"/>
      <c r="T6" s="118"/>
      <c r="U6" s="118"/>
      <c r="V6" s="118"/>
      <c r="W6" s="118"/>
      <c r="X6" s="118"/>
      <c r="Y6" s="118"/>
      <c r="Z6" s="118"/>
      <c r="AA6" s="118"/>
      <c r="AB6" s="118"/>
      <c r="AC6" s="119"/>
    </row>
    <row r="7" spans="1:30" s="7" customFormat="1" ht="6.0" customHeight="true" x14ac:dyDescent="0.2"/>
    <row r="8" spans="1:30" ht="29.25" customHeight="true" x14ac:dyDescent="0.2">
      <c r="B8" s="121" t="s">
        <v>371</v>
      </c>
      <c r="C8" s="121" t="s">
        <v>8</v>
      </c>
      <c r="D8" s="121" t="s">
        <v>9</v>
      </c>
    </row>
    <row r="9" spans="1:30" x14ac:dyDescent="0.2" ht="12.75" customHeight="true">
      <c r="B9" s="122" t="s">
        <v>60</v>
      </c>
      <c r="C9" s="9" t="s">
        <v>60</v>
      </c>
      <c r="D9" s="9" t="s">
        <v>61</v>
      </c>
    </row>
    <row r="10" spans="1:30" x14ac:dyDescent="0.2" ht="12.75" customHeight="true">
      <c r="B10" s="122" t="s">
        <v>13</v>
      </c>
      <c r="C10" s="9" t="s">
        <v>10</v>
      </c>
      <c r="D10" s="9" t="s">
        <v>11</v>
      </c>
    </row>
    <row r="11" spans="1:30" x14ac:dyDescent="0.2" ht="12.75" customHeight="true">
      <c r="B11" s="122"/>
      <c r="C11" s="9"/>
      <c r="D11" s="9"/>
    </row>
    <row r="12" spans="1:30" ht="7.5" customHeight="true" x14ac:dyDescent="0.2"/>
    <row r="13" spans="1:30" ht="15.75" x14ac:dyDescent="0.2" customHeight="true">
      <c r="B13" s="313" t="s">
        <v>372</v>
      </c>
      <c r="C13" s="314"/>
      <c r="D13" s="315"/>
    </row>
    <row r="14" spans="1:30" x14ac:dyDescent="0.2" ht="12.75" customHeight="true">
      <c r="B14" s="122" t="str">
        <f>HYPERLINK("#BYPASS!A1","BYPASS")</f>
        <v>BYPASS</v>
      </c>
      <c r="C14" s="287" t="e">
        <f>TEXT(BYPASS!C18,"")</f>
        <v>#VALUE!</v>
      </c>
      <c r="D14" s="287" t="str">
        <f>TEXT(BYPASS!C20,"")</f>
        <v>0</v>
      </c>
    </row>
    <row r="15" spans="1:30" x14ac:dyDescent="0.2" ht="12.75" customHeight="true">
      <c r="B15" s="122"/>
      <c r="C15" s="9"/>
      <c r="D15" s="9"/>
    </row>
    <row r="16" spans="1:30" x14ac:dyDescent="0.2" ht="12.75" customHeight="true">
      <c r="B16" s="122"/>
      <c r="C16" s="9"/>
      <c r="D16" s="9"/>
    </row>
    <row r="17" spans="2:4" x14ac:dyDescent="0.2" ht="12.75" customHeight="true">
      <c r="B17" s="122"/>
      <c r="C17" s="9"/>
      <c r="D17" s="9"/>
    </row>
    <row r="18" spans="2:4" x14ac:dyDescent="0.2" ht="12.75" customHeight="true">
      <c r="B18" s="122"/>
      <c r="C18" s="9"/>
      <c r="D18" s="9"/>
    </row>
    <row r="19" spans="2:4" x14ac:dyDescent="0.2" ht="12.75" customHeight="true">
      <c r="B19" s="122"/>
      <c r="C19" s="9"/>
      <c r="D19" s="9"/>
    </row>
    <row r="20" spans="2:4" x14ac:dyDescent="0.2" ht="12.75" customHeight="true">
      <c r="B20" s="122"/>
      <c r="C20" s="9"/>
      <c r="D20" s="9"/>
    </row>
    <row r="21" spans="2:4" x14ac:dyDescent="0.2" ht="12.75" customHeight="true">
      <c r="B21" s="123"/>
      <c r="C21" s="9"/>
      <c r="D21" s="9"/>
    </row>
    <row r="22" spans="2:4" x14ac:dyDescent="0.2" ht="12.75" customHeight="true">
      <c r="B22" s="123"/>
      <c r="C22" s="9"/>
      <c r="D22" s="9"/>
    </row>
    <row r="23" spans="2:4" x14ac:dyDescent="0.2" ht="12.75" customHeight="true">
      <c r="B23" s="123"/>
      <c r="C23" s="9"/>
      <c r="D23" s="9"/>
    </row>
    <row r="24" spans="2:4" x14ac:dyDescent="0.2" ht="12.75" customHeight="true">
      <c r="B24" s="123"/>
      <c r="C24" s="9"/>
      <c r="D24" s="9"/>
    </row>
    <row r="25" spans="2:4" x14ac:dyDescent="0.2" ht="12.75" customHeight="true">
      <c r="B25" s="123"/>
      <c r="C25" s="9"/>
      <c r="D25" s="9"/>
    </row>
    <row r="26" spans="2:4" x14ac:dyDescent="0.2" ht="12.75" customHeight="true">
      <c r="B26" s="123"/>
      <c r="C26" s="9"/>
      <c r="D26" s="9"/>
    </row>
    <row r="27" spans="2:4" x14ac:dyDescent="0.2" ht="12.75" customHeight="true">
      <c r="B27" s="123"/>
      <c r="C27" s="9"/>
      <c r="D27" s="9"/>
    </row>
    <row r="28" spans="2:4" x14ac:dyDescent="0.2" ht="12.75" customHeight="true">
      <c r="B28" s="123"/>
      <c r="C28" s="9"/>
      <c r="D28" s="9"/>
    </row>
    <row r="29" spans="2:4" x14ac:dyDescent="0.2" ht="12.75" customHeight="true">
      <c r="B29" s="123"/>
      <c r="C29" s="9"/>
      <c r="D29" s="9"/>
    </row>
    <row r="30" spans="2:4" x14ac:dyDescent="0.2" ht="12.75" customHeight="true">
      <c r="B30" s="123"/>
      <c r="C30" s="9"/>
      <c r="D30" s="9"/>
    </row>
    <row r="31" spans="2:4" x14ac:dyDescent="0.2" ht="12.75" customHeight="true">
      <c r="B31" s="123"/>
      <c r="C31" s="9"/>
      <c r="D31" s="9"/>
    </row>
    <row r="32" spans="2:4" x14ac:dyDescent="0.2" ht="12.75" customHeight="true">
      <c r="B32" s="123"/>
      <c r="C32" s="9"/>
      <c r="D32" s="9"/>
    </row>
    <row r="33" spans="2:4" x14ac:dyDescent="0.2" ht="12.75" customHeight="true">
      <c r="B33" s="123"/>
      <c r="C33" s="9"/>
      <c r="D33" s="9"/>
    </row>
    <row r="34" spans="2:4" x14ac:dyDescent="0.2" ht="12.75" customHeight="true">
      <c r="B34" s="123"/>
      <c r="C34" s="9"/>
      <c r="D34" s="9"/>
    </row>
    <row r="35" spans="2:4" x14ac:dyDescent="0.2" ht="12.75" customHeight="true">
      <c r="B35" s="123"/>
      <c r="C35" s="9"/>
      <c r="D35" s="9"/>
    </row>
    <row r="36" spans="2:4" x14ac:dyDescent="0.2" ht="12.75" customHeight="true">
      <c r="B36" s="123"/>
      <c r="C36" s="9"/>
      <c r="D36" s="9"/>
    </row>
    <row r="37" spans="2:4" x14ac:dyDescent="0.2" ht="12.75" customHeight="true">
      <c r="B37" s="123"/>
      <c r="C37" s="9"/>
      <c r="D37" s="9"/>
    </row>
    <row r="38" spans="2:4" x14ac:dyDescent="0.2" ht="12.75" customHeight="true">
      <c r="B38" s="123"/>
      <c r="C38" s="9"/>
      <c r="D38" s="9"/>
    </row>
    <row r="39" spans="2:4" x14ac:dyDescent="0.2" ht="12.75" customHeight="true">
      <c r="B39" s="123"/>
      <c r="C39" s="9"/>
      <c r="D39" s="9"/>
    </row>
    <row r="40" spans="2:4" x14ac:dyDescent="0.2" ht="12.75" customHeight="true">
      <c r="B40" s="123"/>
      <c r="C40" s="9"/>
      <c r="D40" s="9"/>
    </row>
    <row r="41" spans="2:4" x14ac:dyDescent="0.2" ht="12.75" customHeight="true">
      <c r="B41" s="123"/>
      <c r="C41" s="9"/>
      <c r="D41" s="9"/>
    </row>
    <row r="42" spans="2:4" x14ac:dyDescent="0.2" ht="12.75" customHeight="true">
      <c r="B42" s="123"/>
      <c r="C42" s="9"/>
      <c r="D42" s="9"/>
    </row>
    <row r="43" spans="2:4" x14ac:dyDescent="0.2" ht="12.75" customHeight="true">
      <c r="B43" s="123"/>
      <c r="C43" s="9"/>
      <c r="D43" s="9"/>
    </row>
    <row r="44" spans="2:4" x14ac:dyDescent="0.2" ht="12.75" customHeight="true">
      <c r="B44" s="123"/>
      <c r="C44" s="9"/>
      <c r="D44" s="9"/>
    </row>
    <row r="45" spans="2:4" x14ac:dyDescent="0.2" ht="12.75" customHeight="true">
      <c r="B45" s="123"/>
      <c r="C45" s="9"/>
      <c r="D45" s="9"/>
    </row>
    <row r="46" spans="2:4" x14ac:dyDescent="0.2" ht="12.75" customHeight="true">
      <c r="B46" s="123"/>
      <c r="C46" s="9"/>
      <c r="D46" s="9"/>
    </row>
    <row r="47" spans="2:4" x14ac:dyDescent="0.2" ht="12.75" customHeight="true">
      <c r="B47" s="123"/>
      <c r="C47" s="9"/>
      <c r="D47" s="9"/>
    </row>
    <row r="48" spans="2:4" x14ac:dyDescent="0.2" ht="12.75" customHeight="true">
      <c r="B48" s="123"/>
      <c r="C48" s="9"/>
      <c r="D48" s="9"/>
    </row>
    <row r="49" spans="2:4" x14ac:dyDescent="0.2" ht="12.75" customHeight="true">
      <c r="B49" s="123"/>
      <c r="C49" s="9"/>
      <c r="D49" s="9"/>
    </row>
    <row r="50" spans="2:4" x14ac:dyDescent="0.2" ht="12.75" customHeight="true">
      <c r="B50" s="123"/>
      <c r="C50" s="9"/>
      <c r="D50" s="9"/>
    </row>
    <row r="51" spans="2:4" x14ac:dyDescent="0.2" ht="12.75" customHeight="true">
      <c r="B51" s="123"/>
      <c r="C51" s="9"/>
      <c r="D51" s="9"/>
    </row>
    <row r="52" spans="2:4" x14ac:dyDescent="0.2" ht="12.75" customHeight="true">
      <c r="B52" s="123"/>
      <c r="C52" s="9"/>
      <c r="D52" s="9"/>
    </row>
    <row r="53" spans="2:4" x14ac:dyDescent="0.2" ht="12.75" customHeight="true">
      <c r="B53" s="123"/>
      <c r="C53" s="9"/>
      <c r="D53" s="9"/>
    </row>
    <row r="54" spans="2:4" x14ac:dyDescent="0.2" ht="12.75" customHeight="true">
      <c r="B54" s="123"/>
      <c r="C54" s="9"/>
      <c r="D54" s="9"/>
    </row>
    <row r="55" spans="2:4" x14ac:dyDescent="0.2" ht="12.75" customHeight="true">
      <c r="B55" s="123"/>
      <c r="C55" s="9"/>
      <c r="D55" s="9"/>
    </row>
    <row r="56" spans="2:4" x14ac:dyDescent="0.2" ht="12.75" customHeight="true">
      <c r="B56" s="123"/>
      <c r="C56" s="9"/>
      <c r="D56" s="9"/>
    </row>
    <row r="57" spans="2:4" x14ac:dyDescent="0.2" ht="12.75" customHeight="true">
      <c r="B57" s="123"/>
      <c r="C57" s="9"/>
      <c r="D57" s="9"/>
    </row>
    <row r="58" spans="2:4" x14ac:dyDescent="0.2" ht="12.75" customHeight="true">
      <c r="B58" s="123"/>
      <c r="C58" s="9"/>
      <c r="D58" s="9"/>
    </row>
    <row r="59" spans="2:4" x14ac:dyDescent="0.2" ht="12.75" customHeight="true">
      <c r="B59" s="123"/>
      <c r="C59" s="9"/>
      <c r="D59" s="9"/>
    </row>
    <row r="60" spans="2:4" x14ac:dyDescent="0.2" ht="12.75" customHeight="true">
      <c r="B60" s="123"/>
      <c r="C60" s="9"/>
      <c r="D60" s="9"/>
    </row>
    <row r="61" spans="2:4" x14ac:dyDescent="0.2" ht="12.75" customHeight="true">
      <c r="B61" s="123"/>
      <c r="C61" s="9"/>
      <c r="D61" s="9"/>
    </row>
    <row r="62" spans="2:4" x14ac:dyDescent="0.2" ht="12.75" customHeight="true">
      <c r="B62" s="123"/>
      <c r="C62" s="9"/>
      <c r="D62" s="9"/>
    </row>
    <row r="63" spans="2:4" x14ac:dyDescent="0.2" ht="12.75" customHeight="true">
      <c r="B63" s="123"/>
      <c r="C63" s="9"/>
      <c r="D63" s="9"/>
    </row>
    <row r="64" spans="2:4" x14ac:dyDescent="0.2" ht="12.75" customHeight="true">
      <c r="B64" s="123"/>
      <c r="C64" s="9"/>
      <c r="D64" s="9"/>
    </row>
    <row r="65" spans="2:4" x14ac:dyDescent="0.2" ht="12.75" customHeight="true">
      <c r="B65" s="123"/>
      <c r="C65" s="9"/>
      <c r="D65" s="9"/>
    </row>
    <row r="66" spans="2:4" x14ac:dyDescent="0.2" ht="12.75" customHeight="true">
      <c r="B66" s="123"/>
      <c r="C66" s="9"/>
      <c r="D66" s="9"/>
    </row>
    <row r="67" spans="2:4" x14ac:dyDescent="0.2" ht="12.75" customHeight="true">
      <c r="B67" s="123"/>
      <c r="C67" s="9"/>
      <c r="D67" s="9"/>
    </row>
    <row r="68" spans="2:4" x14ac:dyDescent="0.2" ht="12.75" customHeight="true">
      <c r="B68" s="123"/>
      <c r="C68" s="9"/>
      <c r="D68" s="9"/>
    </row>
    <row r="69" spans="2:4" x14ac:dyDescent="0.2" ht="12.75" customHeight="true">
      <c r="B69" s="123"/>
      <c r="C69" s="9"/>
      <c r="D69" s="9"/>
    </row>
    <row r="70" spans="2:4" x14ac:dyDescent="0.2" ht="12.75" customHeight="true">
      <c r="B70" s="123"/>
      <c r="C70" s="9"/>
      <c r="D70" s="9"/>
    </row>
    <row r="71" spans="2:4" x14ac:dyDescent="0.2" ht="12.75" customHeight="true">
      <c r="B71" s="123"/>
      <c r="C71" s="9"/>
      <c r="D71" s="9"/>
    </row>
    <row r="72" spans="2:4" x14ac:dyDescent="0.2" ht="12.75" customHeight="true">
      <c r="B72" s="123"/>
      <c r="C72" s="9"/>
      <c r="D72" s="9"/>
    </row>
    <row r="73" spans="2:4" x14ac:dyDescent="0.2" ht="12.75" customHeight="true">
      <c r="B73" s="123"/>
      <c r="C73" s="9"/>
      <c r="D73" s="9"/>
    </row>
    <row r="74" spans="2:4" x14ac:dyDescent="0.2" ht="12.75" customHeight="true">
      <c r="B74" s="123"/>
      <c r="C74" s="9"/>
      <c r="D74" s="9"/>
    </row>
    <row r="75" spans="2:4" x14ac:dyDescent="0.2" ht="12.75" customHeight="true">
      <c r="B75" s="123"/>
      <c r="C75" s="9"/>
      <c r="D75" s="9"/>
    </row>
    <row r="76" spans="2:4" x14ac:dyDescent="0.2" ht="12.75" customHeight="true">
      <c r="B76" s="123"/>
      <c r="C76" s="9"/>
      <c r="D76" s="9"/>
    </row>
    <row r="77" spans="2:4" x14ac:dyDescent="0.2" ht="12.75" customHeight="true">
      <c r="B77" s="123"/>
      <c r="C77" s="9"/>
      <c r="D77" s="9"/>
    </row>
    <row r="78" spans="2:4" x14ac:dyDescent="0.2" ht="12.75" customHeight="true">
      <c r="B78" s="123"/>
      <c r="C78" s="9"/>
      <c r="D78" s="9"/>
    </row>
    <row r="79" spans="2:4" x14ac:dyDescent="0.2" ht="12.75" customHeight="true">
      <c r="B79" s="123"/>
      <c r="C79" s="9"/>
      <c r="D79" s="9"/>
    </row>
    <row r="80" spans="2:4" x14ac:dyDescent="0.2" ht="12.75" customHeight="true">
      <c r="B80" s="123"/>
      <c r="C80" s="9"/>
      <c r="D80" s="9"/>
    </row>
    <row r="81" spans="2:4" x14ac:dyDescent="0.2" ht="12.75" customHeight="true">
      <c r="B81" s="123"/>
      <c r="C81" s="9"/>
      <c r="D81" s="9"/>
    </row>
    <row r="82" spans="2:4" x14ac:dyDescent="0.2" ht="12.75" customHeight="true">
      <c r="B82" s="123"/>
      <c r="C82" s="9"/>
      <c r="D82" s="9"/>
    </row>
    <row r="83" spans="2:4" x14ac:dyDescent="0.2" ht="12.75" customHeight="true">
      <c r="B83" s="123"/>
      <c r="C83" s="9"/>
      <c r="D83" s="9"/>
    </row>
    <row r="84" spans="2:4" x14ac:dyDescent="0.2" ht="12.75" customHeight="true">
      <c r="B84" s="123"/>
      <c r="C84" s="9"/>
      <c r="D84" s="9"/>
    </row>
    <row r="85" spans="2:4" x14ac:dyDescent="0.2" ht="12.75" customHeight="true">
      <c r="B85" s="123"/>
      <c r="C85" s="9"/>
      <c r="D85" s="9"/>
    </row>
    <row r="86" spans="2:4" x14ac:dyDescent="0.2" ht="12.75" customHeight="true">
      <c r="B86" s="123"/>
      <c r="C86" s="9"/>
      <c r="D86" s="9"/>
    </row>
    <row r="87" spans="2:4" x14ac:dyDescent="0.2" ht="12.75" customHeight="true">
      <c r="B87" s="123"/>
      <c r="C87" s="9"/>
      <c r="D87" s="9"/>
    </row>
    <row r="88" spans="2:4" x14ac:dyDescent="0.2" ht="12.75" customHeight="true">
      <c r="B88" s="123"/>
      <c r="C88" s="9"/>
      <c r="D88" s="9"/>
    </row>
    <row r="89" spans="2:4" x14ac:dyDescent="0.2" ht="12.75" customHeight="true">
      <c r="B89" s="123"/>
      <c r="C89" s="9"/>
      <c r="D89" s="9"/>
    </row>
    <row r="90" spans="2:4" x14ac:dyDescent="0.2" ht="12.75" customHeight="true">
      <c r="B90" s="123"/>
      <c r="C90" s="9"/>
      <c r="D90" s="9"/>
    </row>
    <row r="91" spans="2:4" x14ac:dyDescent="0.2" ht="12.75" customHeight="true">
      <c r="B91" s="123"/>
      <c r="C91" s="9"/>
      <c r="D91" s="9"/>
    </row>
    <row r="92" spans="2:4" x14ac:dyDescent="0.2" ht="12.75" customHeight="true">
      <c r="B92" s="123"/>
      <c r="C92" s="9"/>
      <c r="D92" s="9"/>
    </row>
    <row r="93" spans="2:4" x14ac:dyDescent="0.2" ht="12.75" customHeight="true">
      <c r="B93" s="123"/>
      <c r="C93" s="9"/>
      <c r="D93" s="9"/>
    </row>
    <row r="94" spans="2:4" x14ac:dyDescent="0.2" ht="12.75" customHeight="true">
      <c r="B94" s="123"/>
      <c r="C94" s="9"/>
      <c r="D94" s="9"/>
    </row>
    <row r="95" spans="2:4" x14ac:dyDescent="0.2" ht="12.75" customHeight="true">
      <c r="B95" s="123"/>
      <c r="C95" s="9"/>
      <c r="D95" s="9"/>
    </row>
    <row r="96" spans="2:4" x14ac:dyDescent="0.2" ht="12.75" customHeight="true">
      <c r="B96" s="123"/>
      <c r="C96" s="9"/>
      <c r="D96" s="9"/>
    </row>
    <row r="97" spans="2:4" x14ac:dyDescent="0.2" ht="12.75" customHeight="true">
      <c r="B97" s="123"/>
      <c r="C97" s="9"/>
      <c r="D97" s="9"/>
    </row>
    <row r="98" spans="2:4" x14ac:dyDescent="0.2" ht="12.75" customHeight="true">
      <c r="B98" s="123"/>
      <c r="C98" s="9"/>
      <c r="D98" s="9"/>
    </row>
    <row r="99" spans="2:4" x14ac:dyDescent="0.2" ht="12.75" customHeight="true">
      <c r="B99" s="123"/>
      <c r="C99" s="9"/>
      <c r="D99" s="9"/>
    </row>
    <row r="100" spans="2:4" x14ac:dyDescent="0.2" ht="12.75" customHeight="true">
      <c r="B100" s="123"/>
      <c r="C100" s="9"/>
      <c r="D100" s="9"/>
    </row>
    <row r="101" spans="2:4" x14ac:dyDescent="0.2" ht="12.75" customHeight="true">
      <c r="B101" s="123"/>
      <c r="C101" s="9"/>
      <c r="D101" s="9"/>
    </row>
    <row r="102" spans="2:4" x14ac:dyDescent="0.2" ht="12.75" customHeight="true">
      <c r="B102" s="123"/>
      <c r="C102" s="9"/>
      <c r="D102" s="9"/>
    </row>
    <row r="103" spans="2:4" x14ac:dyDescent="0.2" ht="12.75" customHeight="true">
      <c r="B103" s="123"/>
      <c r="C103" s="9"/>
      <c r="D103" s="9"/>
    </row>
    <row r="104" spans="2:4" x14ac:dyDescent="0.2" ht="12.75" customHeight="true">
      <c r="B104" s="123"/>
      <c r="C104" s="9"/>
      <c r="D104" s="9"/>
    </row>
    <row r="105" spans="2:4" x14ac:dyDescent="0.2" ht="12.75" customHeight="true">
      <c r="B105" s="123"/>
      <c r="C105" s="9"/>
      <c r="D105" s="9"/>
    </row>
    <row r="106" spans="2:4" x14ac:dyDescent="0.2" ht="12.75" customHeight="true">
      <c r="B106" s="123"/>
      <c r="C106" s="9"/>
      <c r="D106" s="9"/>
    </row>
    <row r="107" spans="2:4" x14ac:dyDescent="0.2" ht="12.75" customHeight="true">
      <c r="B107" s="123"/>
      <c r="C107" s="9"/>
      <c r="D107" s="9"/>
    </row>
    <row r="108" spans="2:4" x14ac:dyDescent="0.2" ht="12.75" customHeight="true">
      <c r="B108" s="123"/>
      <c r="C108" s="9"/>
      <c r="D108" s="9"/>
    </row>
    <row r="109" spans="2:4" x14ac:dyDescent="0.2" ht="12.75" customHeight="true">
      <c r="B109" s="123"/>
      <c r="C109" s="9"/>
      <c r="D109" s="9"/>
    </row>
    <row r="110" spans="2:4" x14ac:dyDescent="0.2" ht="12.75" customHeight="true">
      <c r="B110" s="123"/>
      <c r="C110" s="9"/>
      <c r="D110" s="9"/>
    </row>
    <row r="111" spans="2:4" x14ac:dyDescent="0.2" ht="12.75" customHeight="true">
      <c r="B111" s="123"/>
      <c r="C111" s="9"/>
      <c r="D111" s="9"/>
    </row>
    <row r="112" spans="2:4" x14ac:dyDescent="0.2" ht="12.75" customHeight="true">
      <c r="B112" s="123"/>
      <c r="C112" s="9"/>
      <c r="D112" s="9"/>
    </row>
    <row r="113" spans="2:4" x14ac:dyDescent="0.2" ht="12.75" customHeight="true">
      <c r="B113" s="123"/>
      <c r="C113" s="9"/>
      <c r="D113" s="9"/>
    </row>
    <row r="114" spans="2:4" x14ac:dyDescent="0.2" ht="12.75" customHeight="true">
      <c r="B114" s="123"/>
      <c r="C114" s="9"/>
      <c r="D114" s="9"/>
    </row>
    <row r="115" spans="2:4" x14ac:dyDescent="0.2" ht="12.75" customHeight="true">
      <c r="B115" s="123"/>
      <c r="C115" s="9"/>
      <c r="D115" s="9"/>
    </row>
    <row r="116" spans="2:4" x14ac:dyDescent="0.2" ht="12.75" customHeight="true">
      <c r="B116" s="123"/>
      <c r="C116" s="9"/>
      <c r="D116" s="9"/>
    </row>
    <row r="117" spans="2:4" x14ac:dyDescent="0.2" ht="12.75" customHeight="true">
      <c r="B117" s="123"/>
      <c r="C117" s="9"/>
      <c r="D117" s="9"/>
    </row>
    <row r="118" spans="2:4" x14ac:dyDescent="0.2" ht="12.75" customHeight="true">
      <c r="B118" s="123"/>
      <c r="C118" s="9"/>
      <c r="D118" s="9"/>
    </row>
    <row r="119" spans="2:4" x14ac:dyDescent="0.2">
      <c r="B119" s="123"/>
      <c r="C119" s="9"/>
      <c r="D119" s="9"/>
    </row>
    <row r="120" spans="2:4" x14ac:dyDescent="0.2">
      <c r="B120" s="123"/>
      <c r="C120" s="9"/>
      <c r="D120" s="9"/>
    </row>
    <row r="121" spans="2:4" x14ac:dyDescent="0.2">
      <c r="B121" s="123"/>
      <c r="C121" s="9"/>
      <c r="D121" s="9"/>
    </row>
    <row r="122" spans="2:4" x14ac:dyDescent="0.2">
      <c r="B122" s="123"/>
      <c r="C122" s="9"/>
      <c r="D122" s="9"/>
    </row>
    <row r="123" spans="2:4" x14ac:dyDescent="0.2">
      <c r="B123" s="123"/>
      <c r="C123" s="9"/>
      <c r="D123" s="9"/>
    </row>
    <row r="124" spans="2:4" x14ac:dyDescent="0.2">
      <c r="B124" s="123"/>
      <c r="C124" s="9"/>
      <c r="D124" s="9"/>
    </row>
    <row r="125" spans="2:4" x14ac:dyDescent="0.2">
      <c r="B125" s="123"/>
      <c r="C125" s="9"/>
      <c r="D125" s="9"/>
    </row>
    <row r="126" spans="2:4" x14ac:dyDescent="0.2">
      <c r="B126" s="123"/>
      <c r="C126" s="9"/>
      <c r="D126" s="9"/>
    </row>
    <row r="127" spans="2:4" x14ac:dyDescent="0.2">
      <c r="B127" s="123"/>
      <c r="C127" s="9"/>
      <c r="D127" s="9"/>
    </row>
    <row r="128" spans="2:4" x14ac:dyDescent="0.2">
      <c r="B128" s="123"/>
      <c r="C128" s="9"/>
      <c r="D128" s="9"/>
    </row>
    <row r="129" spans="2:4" x14ac:dyDescent="0.2">
      <c r="B129" s="123"/>
      <c r="C129" s="9"/>
      <c r="D129" s="9"/>
    </row>
    <row r="130" spans="2:4" x14ac:dyDescent="0.2">
      <c r="B130" s="123"/>
      <c r="C130" s="9"/>
      <c r="D130" s="9"/>
    </row>
    <row r="131" spans="2:4" x14ac:dyDescent="0.2">
      <c r="B131" s="123"/>
      <c r="C131" s="9"/>
      <c r="D131" s="9"/>
    </row>
    <row r="132" spans="2:4" x14ac:dyDescent="0.2">
      <c r="B132" s="123"/>
      <c r="C132" s="9"/>
      <c r="D132" s="9"/>
    </row>
    <row r="133" spans="2:4" x14ac:dyDescent="0.2">
      <c r="B133" s="123"/>
      <c r="C133" s="9"/>
      <c r="D133" s="9"/>
    </row>
    <row r="134" spans="2:4" x14ac:dyDescent="0.2">
      <c r="B134" s="123"/>
      <c r="C134" s="9"/>
      <c r="D134" s="9"/>
    </row>
    <row r="135" spans="2:4" x14ac:dyDescent="0.2">
      <c r="B135" s="123"/>
      <c r="C135" s="9"/>
      <c r="D135" s="9"/>
    </row>
    <row r="136" spans="2:4" x14ac:dyDescent="0.2">
      <c r="B136" s="123"/>
      <c r="C136" s="9"/>
      <c r="D136" s="9"/>
    </row>
    <row r="137" spans="2:4" x14ac:dyDescent="0.2">
      <c r="B137" s="123"/>
      <c r="C137" s="9"/>
      <c r="D137" s="9"/>
    </row>
    <row r="138" spans="2:4" x14ac:dyDescent="0.2">
      <c r="B138" s="123"/>
      <c r="C138" s="9"/>
      <c r="D138" s="9"/>
    </row>
    <row r="139" spans="2:4" x14ac:dyDescent="0.2">
      <c r="B139" s="123"/>
      <c r="C139" s="9"/>
      <c r="D139" s="9"/>
    </row>
    <row r="140" spans="2:4" x14ac:dyDescent="0.2">
      <c r="B140" s="123"/>
      <c r="C140" s="9"/>
      <c r="D140" s="9"/>
    </row>
    <row r="141" spans="2:4" x14ac:dyDescent="0.2">
      <c r="B141" s="123"/>
      <c r="C141" s="9"/>
      <c r="D141" s="9"/>
    </row>
    <row r="142" spans="2:4" x14ac:dyDescent="0.2">
      <c r="B142" s="123"/>
      <c r="C142" s="9"/>
      <c r="D142" s="9"/>
    </row>
    <row r="143" spans="2:4" x14ac:dyDescent="0.2">
      <c r="B143" s="123"/>
      <c r="C143" s="9"/>
      <c r="D143" s="9"/>
    </row>
    <row r="144" spans="2:4" x14ac:dyDescent="0.2">
      <c r="B144" s="123"/>
      <c r="C144" s="9"/>
      <c r="D144" s="9"/>
    </row>
    <row r="145" spans="2:4" x14ac:dyDescent="0.2">
      <c r="B145" s="123"/>
      <c r="C145" s="9"/>
      <c r="D145" s="9"/>
    </row>
    <row r="146" spans="2:4" x14ac:dyDescent="0.2">
      <c r="B146" s="123"/>
      <c r="C146" s="9"/>
      <c r="D146" s="9"/>
    </row>
    <row r="147" spans="2:4" x14ac:dyDescent="0.2">
      <c r="B147" s="123"/>
      <c r="C147" s="9"/>
      <c r="D147" s="9"/>
    </row>
    <row r="148" spans="2:4" x14ac:dyDescent="0.2">
      <c r="B148" s="123"/>
      <c r="C148" s="9"/>
      <c r="D148" s="9"/>
    </row>
    <row r="149" spans="2:4" x14ac:dyDescent="0.2">
      <c r="B149" s="123"/>
      <c r="C149" s="9"/>
      <c r="D149" s="9"/>
    </row>
    <row r="150" spans="2:4" x14ac:dyDescent="0.2">
      <c r="B150" s="123"/>
      <c r="C150" s="9"/>
      <c r="D150" s="9"/>
    </row>
    <row r="151" spans="2:4" x14ac:dyDescent="0.2">
      <c r="B151" s="123"/>
      <c r="C151" s="9"/>
      <c r="D151" s="9"/>
    </row>
    <row r="152" spans="2:4" x14ac:dyDescent="0.2">
      <c r="B152" s="123"/>
      <c r="C152" s="9"/>
      <c r="D152" s="9"/>
    </row>
    <row r="153" spans="2:4" x14ac:dyDescent="0.2">
      <c r="B153" s="123"/>
      <c r="C153" s="9"/>
      <c r="D153" s="9"/>
    </row>
    <row r="154" spans="2:4" x14ac:dyDescent="0.2">
      <c r="B154" s="123"/>
      <c r="C154" s="9"/>
      <c r="D154" s="9"/>
    </row>
    <row r="155" spans="2:4" x14ac:dyDescent="0.2">
      <c r="B155" s="123"/>
      <c r="C155" s="9"/>
      <c r="D155" s="9"/>
    </row>
    <row r="156" spans="2:4" x14ac:dyDescent="0.2">
      <c r="B156" s="123"/>
      <c r="C156" s="9"/>
      <c r="D156" s="9"/>
    </row>
    <row r="157" spans="2:4" x14ac:dyDescent="0.2">
      <c r="B157" s="123"/>
      <c r="C157" s="9"/>
      <c r="D157" s="9"/>
    </row>
    <row r="158" spans="2:4" x14ac:dyDescent="0.2">
      <c r="B158" s="123"/>
      <c r="C158" s="9"/>
      <c r="D158" s="9"/>
    </row>
    <row r="159" spans="2:4" x14ac:dyDescent="0.2">
      <c r="B159" s="123"/>
      <c r="C159" s="9"/>
      <c r="D159" s="9"/>
    </row>
    <row r="160" spans="2:4" x14ac:dyDescent="0.2">
      <c r="B160" s="123"/>
      <c r="C160" s="9"/>
      <c r="D160" s="9"/>
    </row>
    <row r="161" spans="2:4" x14ac:dyDescent="0.2">
      <c r="B161" s="123"/>
      <c r="C161" s="9"/>
      <c r="D161" s="9"/>
    </row>
    <row r="162" spans="2:4" x14ac:dyDescent="0.2">
      <c r="B162" s="123"/>
      <c r="C162" s="9"/>
      <c r="D162" s="9"/>
    </row>
    <row r="163" spans="2:4" x14ac:dyDescent="0.2">
      <c r="B163" s="123"/>
      <c r="C163" s="9"/>
      <c r="D163" s="9"/>
    </row>
    <row r="164" spans="2:4" x14ac:dyDescent="0.2">
      <c r="B164" s="123"/>
      <c r="C164" s="9"/>
      <c r="D164" s="9"/>
    </row>
    <row r="165" spans="2:4" x14ac:dyDescent="0.2">
      <c r="B165" s="123"/>
      <c r="C165" s="9"/>
      <c r="D165" s="9"/>
    </row>
    <row r="166" spans="2:4" x14ac:dyDescent="0.2">
      <c r="B166" s="123"/>
      <c r="C166" s="9"/>
      <c r="D166" s="9"/>
    </row>
    <row r="167" spans="2:4" x14ac:dyDescent="0.2">
      <c r="B167" s="123"/>
      <c r="C167" s="9"/>
      <c r="D167" s="9"/>
    </row>
    <row r="168" spans="2:4" x14ac:dyDescent="0.2">
      <c r="B168" s="123"/>
      <c r="C168" s="9"/>
      <c r="D168" s="9"/>
    </row>
    <row r="169" spans="2:4" x14ac:dyDescent="0.2">
      <c r="B169" s="123"/>
      <c r="C169" s="9"/>
      <c r="D169" s="9"/>
    </row>
    <row r="170" spans="2:4" x14ac:dyDescent="0.2">
      <c r="B170" s="123"/>
      <c r="C170" s="9"/>
      <c r="D170" s="9"/>
    </row>
    <row r="171" spans="2:4" x14ac:dyDescent="0.2">
      <c r="B171" s="123"/>
      <c r="C171" s="9"/>
      <c r="D171" s="9"/>
    </row>
    <row r="172" spans="2:4" x14ac:dyDescent="0.2">
      <c r="B172" s="123"/>
      <c r="C172" s="9"/>
      <c r="D172" s="9"/>
    </row>
    <row r="173" spans="2:4" x14ac:dyDescent="0.2">
      <c r="B173" s="123"/>
      <c r="C173" s="9"/>
      <c r="D173" s="9"/>
    </row>
    <row r="174" spans="2:4" x14ac:dyDescent="0.2">
      <c r="B174" s="123"/>
      <c r="C174" s="9"/>
      <c r="D174" s="9"/>
    </row>
    <row r="175" spans="2:4" x14ac:dyDescent="0.2">
      <c r="B175" s="123"/>
      <c r="C175" s="9"/>
      <c r="D175" s="9"/>
    </row>
    <row r="176" spans="2:4" x14ac:dyDescent="0.2">
      <c r="B176" s="123"/>
      <c r="C176" s="9"/>
      <c r="D176" s="9"/>
    </row>
    <row r="177" spans="2:4" x14ac:dyDescent="0.2">
      <c r="B177" s="123"/>
      <c r="C177" s="9"/>
      <c r="D177" s="9"/>
    </row>
    <row r="178" spans="2:4" x14ac:dyDescent="0.2">
      <c r="B178" s="123"/>
      <c r="C178" s="9"/>
      <c r="D178" s="9"/>
    </row>
    <row r="179" spans="2:4" x14ac:dyDescent="0.2">
      <c r="B179" s="123"/>
      <c r="C179" s="9"/>
      <c r="D179" s="9"/>
    </row>
    <row r="180" spans="2:4" x14ac:dyDescent="0.2">
      <c r="B180" s="123"/>
      <c r="C180" s="9"/>
      <c r="D180" s="9"/>
    </row>
    <row r="181" spans="2:4" x14ac:dyDescent="0.2">
      <c r="B181" s="123"/>
      <c r="C181" s="9"/>
      <c r="D181" s="9"/>
    </row>
    <row r="182" spans="2:4" x14ac:dyDescent="0.2">
      <c r="B182" s="123"/>
      <c r="C182" s="9"/>
      <c r="D182" s="9"/>
    </row>
    <row r="183" spans="2:4" x14ac:dyDescent="0.2">
      <c r="B183" s="123"/>
      <c r="C183" s="9"/>
      <c r="D183" s="9"/>
    </row>
    <row r="184" spans="2:4" x14ac:dyDescent="0.2">
      <c r="B184" s="123"/>
      <c r="C184" s="9"/>
      <c r="D184" s="9"/>
    </row>
    <row r="185" spans="2:4" x14ac:dyDescent="0.2">
      <c r="B185" s="123"/>
      <c r="C185" s="9"/>
      <c r="D185" s="9"/>
    </row>
    <row r="186" spans="2:4" x14ac:dyDescent="0.2">
      <c r="B186" s="123"/>
      <c r="C186" s="9"/>
      <c r="D186" s="9"/>
    </row>
    <row r="187" spans="2:4" x14ac:dyDescent="0.2">
      <c r="B187" s="123"/>
      <c r="C187" s="9"/>
      <c r="D187" s="9"/>
    </row>
    <row r="188" spans="2:4" x14ac:dyDescent="0.2">
      <c r="B188" s="123"/>
      <c r="C188" s="9"/>
      <c r="D188" s="9"/>
    </row>
    <row r="189" spans="2:4" x14ac:dyDescent="0.2">
      <c r="B189" s="123"/>
      <c r="C189" s="9"/>
      <c r="D189" s="9"/>
    </row>
    <row r="190" spans="2:4" x14ac:dyDescent="0.2">
      <c r="B190" s="123"/>
      <c r="C190" s="9"/>
      <c r="D190" s="9"/>
    </row>
    <row r="191" spans="2:4" x14ac:dyDescent="0.2">
      <c r="B191" s="123"/>
      <c r="C191" s="9"/>
      <c r="D191" s="9"/>
    </row>
    <row r="192" spans="2:4" x14ac:dyDescent="0.2">
      <c r="B192" s="123"/>
      <c r="C192" s="9"/>
      <c r="D192" s="9"/>
    </row>
    <row r="193" spans="2:4" x14ac:dyDescent="0.2">
      <c r="B193" s="123"/>
      <c r="C193" s="9"/>
      <c r="D193" s="9"/>
    </row>
    <row r="194" spans="2:4" x14ac:dyDescent="0.2">
      <c r="B194" s="123"/>
      <c r="C194" s="9"/>
      <c r="D194" s="9"/>
    </row>
    <row r="195" spans="2:4" x14ac:dyDescent="0.2">
      <c r="B195" s="123"/>
      <c r="C195" s="9"/>
      <c r="D195" s="9"/>
    </row>
    <row r="196" spans="2:4" x14ac:dyDescent="0.2">
      <c r="B196" s="123"/>
      <c r="C196" s="9"/>
      <c r="D196" s="9"/>
    </row>
    <row r="197" spans="2:4" x14ac:dyDescent="0.2">
      <c r="B197" s="123"/>
      <c r="C197" s="9"/>
      <c r="D197" s="9"/>
    </row>
    <row r="198" spans="2:4" x14ac:dyDescent="0.2">
      <c r="B198" s="123"/>
      <c r="C198" s="9"/>
      <c r="D198" s="9"/>
    </row>
    <row r="199" spans="2:4" x14ac:dyDescent="0.2">
      <c r="B199" s="123"/>
      <c r="C199" s="9"/>
      <c r="D199" s="9"/>
    </row>
    <row r="200" spans="2:4" x14ac:dyDescent="0.2">
      <c r="B200" s="123"/>
      <c r="C200" s="9"/>
      <c r="D200" s="9"/>
    </row>
    <row r="201" spans="2:4" x14ac:dyDescent="0.2">
      <c r="B201" s="123"/>
      <c r="C201" s="9"/>
      <c r="D201" s="9"/>
    </row>
    <row r="202" spans="2:4" x14ac:dyDescent="0.2">
      <c r="B202" s="123"/>
      <c r="C202" s="9"/>
      <c r="D202" s="9"/>
    </row>
    <row r="203" spans="2:4" x14ac:dyDescent="0.2">
      <c r="B203" s="123"/>
      <c r="C203" s="9"/>
      <c r="D203" s="9"/>
    </row>
    <row r="204" spans="2:4" x14ac:dyDescent="0.2">
      <c r="B204" s="123"/>
      <c r="C204" s="9"/>
      <c r="D204" s="9"/>
    </row>
    <row r="205" spans="2:4" x14ac:dyDescent="0.2">
      <c r="B205" s="123"/>
      <c r="C205" s="9"/>
      <c r="D205" s="9"/>
    </row>
    <row r="206" spans="2:4" x14ac:dyDescent="0.2">
      <c r="B206" s="123"/>
      <c r="C206" s="9"/>
      <c r="D206" s="9"/>
    </row>
    <row r="207" spans="2:4" x14ac:dyDescent="0.2">
      <c r="B207" s="123"/>
      <c r="C207" s="9"/>
      <c r="D207" s="9"/>
    </row>
    <row r="208" spans="2:4" x14ac:dyDescent="0.2">
      <c r="B208" s="123"/>
      <c r="C208" s="9"/>
      <c r="D208" s="9"/>
    </row>
    <row r="209" spans="2:4" x14ac:dyDescent="0.2">
      <c r="B209" s="123"/>
      <c r="C209" s="9"/>
      <c r="D209" s="9"/>
    </row>
    <row r="210" spans="2:4" x14ac:dyDescent="0.2">
      <c r="B210" s="123"/>
      <c r="C210" s="9"/>
      <c r="D210" s="9"/>
    </row>
    <row r="211" spans="2:4" x14ac:dyDescent="0.2">
      <c r="B211" s="123"/>
      <c r="C211" s="9"/>
      <c r="D211" s="9"/>
    </row>
    <row r="212" spans="2:4" x14ac:dyDescent="0.2">
      <c r="B212" s="123"/>
      <c r="C212" s="9"/>
      <c r="D212" s="9"/>
    </row>
    <row r="213" spans="2:4" x14ac:dyDescent="0.2">
      <c r="B213" s="123"/>
      <c r="C213" s="9"/>
      <c r="D213" s="9"/>
    </row>
    <row r="214" spans="2:4" x14ac:dyDescent="0.2">
      <c r="B214" s="123"/>
      <c r="C214" s="9"/>
      <c r="D214" s="9"/>
    </row>
    <row r="215" spans="2:4" x14ac:dyDescent="0.2">
      <c r="B215" s="123"/>
      <c r="C215" s="9"/>
      <c r="D215" s="9"/>
    </row>
    <row r="216" spans="2:4" x14ac:dyDescent="0.2">
      <c r="B216" s="123"/>
      <c r="C216" s="9"/>
      <c r="D216" s="9"/>
    </row>
    <row r="217" spans="2:4" x14ac:dyDescent="0.2">
      <c r="B217" s="123"/>
      <c r="C217" s="9"/>
      <c r="D217" s="9"/>
    </row>
    <row r="218" spans="2:4" x14ac:dyDescent="0.2">
      <c r="B218" s="123"/>
      <c r="C218" s="9"/>
      <c r="D218" s="9"/>
    </row>
    <row r="219" spans="2:4" x14ac:dyDescent="0.2">
      <c r="B219" s="123"/>
      <c r="C219" s="9"/>
      <c r="D219" s="9"/>
    </row>
    <row r="220" spans="2:4" x14ac:dyDescent="0.2">
      <c r="B220" s="123"/>
      <c r="C220" s="9"/>
      <c r="D220" s="9"/>
    </row>
    <row r="221" spans="2:4" x14ac:dyDescent="0.2">
      <c r="B221" s="123"/>
      <c r="C221" s="9"/>
      <c r="D221" s="9"/>
    </row>
    <row r="222" spans="2:4" x14ac:dyDescent="0.2">
      <c r="B222" s="123"/>
      <c r="C222" s="9"/>
      <c r="D222" s="9"/>
    </row>
    <row r="223" spans="2:4" x14ac:dyDescent="0.2">
      <c r="B223" s="123"/>
      <c r="C223" s="9"/>
      <c r="D223" s="9"/>
    </row>
    <row r="224" spans="2:4" x14ac:dyDescent="0.2">
      <c r="B224" s="123"/>
      <c r="C224" s="9"/>
      <c r="D224" s="9"/>
    </row>
    <row r="225" spans="2:4" x14ac:dyDescent="0.2">
      <c r="B225" s="123"/>
      <c r="C225" s="9"/>
      <c r="D225" s="9"/>
    </row>
    <row r="226" spans="2:4" x14ac:dyDescent="0.2">
      <c r="B226" s="123"/>
      <c r="C226" s="9"/>
      <c r="D226" s="9"/>
    </row>
    <row r="227" spans="2:4" x14ac:dyDescent="0.2">
      <c r="B227" s="123"/>
      <c r="C227" s="9"/>
      <c r="D227" s="9"/>
    </row>
  </sheetData>
  <mergeCells count="2">
    <mergeCell ref="B3:M4"/>
    <mergeCell ref="B13:D13"/>
  </mergeCells>
  <hyperlinks>
    <hyperlink ref="B9" location="'Index'!A1" display="'Index" xr:uid="{00000000-0004-0000-0000-000000000000}"/>
    <hyperlink ref="B10" location="'Document'!A1" display="'Document" xr:uid="{00000000-0004-0000-0000-000001000000}"/>
    <hyperlink ref="B9" location="'Index'!A1" display="'Index" xr:uid="{00000000-0004-0000-0000-000000000000}"/>
    <hyperlink ref="B10" location="'Document'!A1" display="'Document" xr:uid="{00000000-0004-0000-0000-000001000000}"/>
  </hyperlinks>
  <printOptions horizontalCentered="1" verticalCentered="1"/>
  <pageMargins left="0.39370078740157483" right="0.39370078740157483" top="0.47244094488188981" bottom="0.39370078740157483" header="0.11811023622047245" footer="0.11811023622047245"/>
  <pageSetup paperSize="9" scale="18" orientation="portrait" r:id="rId1"/>
  <headerFooter alignWithMargins="0">
    <oddHeader><![CDATA[&L&G&C&F
&A&RBIM/0154
Version : V11.0]]></oddHeader>
    <oddFooter><![CDATA[&RPage &P/&N&LCapgemini AS France - Services
© 2012 Copyright Capgemini&C&"Calibri"&11&K000000Imprimé le / Printed on &D_x000D_&1#&"Helvetica 75 Bold"&8&KED7D31Orange Restricted]]></oddFooter>
  </headerFooter>
  <drawing r:id="rId2"/>
  <legacyDrawing r:id="rId3"/>
  <legacyDrawingHF r:id="rId4"/>
  <mc:AlternateContent>
    <mc:Choice Requires="x14">
      <controls>
        <mc:AlternateContent>
          <mc:Choice Requires="x14">
            <control shapeId="216065" r:id="rId5" name="Button 1">
              <controlPr defaultSize="0" print="0" autoFill="0" autoPict="0" macro="[0]!ThisWorkbook.Index_Generation_V4">
                <anchor moveWithCells="1" sizeWithCells="1">
                  <from>
                    <xdr:col>4</xdr:col>
                    <xdr:colOff>161925</xdr:colOff>
                    <xdr:row>7</xdr:row>
                    <xdr:rowOff>0</xdr:rowOff>
                  </from>
                  <to>
                    <xdr:col>5</xdr:col>
                    <xdr:colOff>523875</xdr:colOff>
                    <xdr:row>7</xdr:row>
                    <xdr:rowOff>276225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9">
    <pageSetUpPr fitToPage="1"/>
  </sheetPr>
  <dimension ref="A1:V104"/>
  <sheetViews>
    <sheetView showGridLines="0" zoomScale="85" zoomScaleNormal="85" workbookViewId="0">
      <selection activeCell="B80" sqref="B80:I81"/>
    </sheetView>
  </sheetViews>
  <sheetFormatPr baseColWidth="10" defaultColWidth="12.5703125" defaultRowHeight="12.75" outlineLevelCol="1" x14ac:dyDescent="0.2"/>
  <cols>
    <col min="19" max="19" style="277" width="12.5703125"/>
    <col min="18" max="18" style="277" width="12.5703125" customWidth="true"/>
    <col min="17" max="17" style="277" width="12.5703125" customWidth="true"/>
    <col min="16" max="16" style="277" width="12.5703125" customWidth="true"/>
    <col min="15" max="15" style="277" width="12.5703125" customWidth="true"/>
    <col min="14" max="14" style="277" width="12.5703125" customWidth="true"/>
    <col min="13" max="13" style="277" width="12.5703125" customWidth="true"/>
    <col min="12" max="12" style="277" width="12.5703125" customWidth="true"/>
    <col min="9" max="9" style="277" width="12.5703125" customWidth="true"/>
    <col min="8" max="8" style="277" width="12.5703125" customWidth="true"/>
    <col min="1" max="1" customWidth="true" style="277" width="2.85546875"/>
    <col min="2" max="2" customWidth="true" style="277" width="11.28515625"/>
    <col min="3" max="3" customWidth="true" style="277" width="14.5703125"/>
    <col min="4" max="4" customWidth="true" style="277" width="10.85546875"/>
    <col min="5" max="5" customWidth="true" style="277" width="28.28515625"/>
    <col min="6" max="6" customWidth="true" style="277" width="34.0"/>
    <col min="7" max="7" style="277" width="12.5703125" customWidth="true"/>
    <col min="10" max="10" customWidth="true" style="277" width="6.42578125"/>
    <col min="11" max="11" style="277" width="12.5703125" customWidth="true"/>
    <col min="20" max="20" style="277" width="12.5703125" outlineLevel="1" customWidth="true"/>
    <col min="21" max="21" customWidth="true" style="277" width="23.5703125" outlineLevel="1"/>
    <col min="22" max="23" style="277" width="12.5703125" outlineLevel="1"/>
    <col min="24" max="16384" style="277" width="12.5703125"/>
  </cols>
  <sheetData>
    <row r="1" spans="1:22" s="276" customFormat="1" ht="25.5" customHeight="true" thickBot="1" x14ac:dyDescent="0.25">
      <c r="A1"/>
      <c r="B1" s="316" t="s">
        <v>12</v>
      </c>
      <c r="C1" s="317"/>
      <c r="D1" s="317"/>
      <c r="E1" s="317"/>
      <c r="F1" s="317"/>
      <c r="G1" s="317"/>
      <c r="H1" s="317"/>
      <c r="I1" s="317"/>
      <c r="J1" s="317"/>
      <c r="K1" s="317"/>
      <c r="L1" s="317"/>
      <c r="M1" s="317"/>
      <c r="N1" s="317"/>
      <c r="O1" s="317"/>
      <c r="P1" s="317"/>
      <c r="Q1" s="317"/>
      <c r="R1" s="318"/>
    </row>
    <row r="2" spans="1:22" ht="13.5" thickBot="1" x14ac:dyDescent="0.25" customHeight="true"/>
    <row r="3" spans="1:22" ht="12.75" hidden="1" customHeight="true" x14ac:dyDescent="0.2">
      <c r="E3" s="332" t="s">
        <v>18</v>
      </c>
      <c r="F3" s="333"/>
      <c r="G3" s="333"/>
      <c r="H3" s="334"/>
      <c r="K3" s="323" t="s">
        <v>23</v>
      </c>
      <c r="L3" s="324"/>
      <c r="M3" s="324"/>
      <c r="N3" s="324"/>
      <c r="O3" s="324"/>
      <c r="P3" s="325"/>
    </row>
    <row r="4" spans="1:22" ht="12.75" hidden="1" customHeight="true" x14ac:dyDescent="0.2">
      <c r="E4" s="319" t="s">
        <v>5</v>
      </c>
      <c r="F4" s="320"/>
      <c r="G4" s="321"/>
      <c r="H4" s="322"/>
    </row>
    <row r="5" spans="1:22" ht="12.75" hidden="1" customHeight="true" x14ac:dyDescent="0.2">
      <c r="E5" s="319" t="s">
        <v>0</v>
      </c>
      <c r="F5" s="320"/>
      <c r="G5" s="321" t="s">
        <v>538</v>
      </c>
      <c r="H5" s="322"/>
    </row>
    <row r="6" spans="1:22" ht="12.75" hidden="1" customHeight="true" x14ac:dyDescent="0.2">
      <c r="E6" s="319" t="s">
        <v>19</v>
      </c>
      <c r="F6" s="320"/>
      <c r="G6" s="330" t="n">
        <v>43546.0</v>
      </c>
      <c r="H6" s="331"/>
    </row>
    <row r="7" spans="1:22" ht="12.75" hidden="1" customHeight="true" x14ac:dyDescent="0.2">
      <c r="E7" s="319" t="s">
        <v>20</v>
      </c>
      <c r="F7" s="320"/>
      <c r="G7" s="321" t="s">
        <v>44</v>
      </c>
      <c r="H7" s="322"/>
    </row>
    <row r="8" spans="1:22" ht="12.75" hidden="1" customHeight="true" x14ac:dyDescent="0.2">
      <c r="E8" s="319" t="s">
        <v>3</v>
      </c>
      <c r="F8" s="320"/>
      <c r="G8" s="321" t="s">
        <v>62</v>
      </c>
      <c r="H8" s="322"/>
    </row>
    <row r="9" spans="1:22" ht="12.75" hidden="1" customHeight="true" x14ac:dyDescent="0.2">
      <c r="E9" s="319" t="s">
        <v>21</v>
      </c>
      <c r="F9" s="320"/>
      <c r="G9" s="321" t="s">
        <v>521</v>
      </c>
      <c r="H9" s="322"/>
    </row>
    <row r="10" spans="1:22" ht="12.75" hidden="1" customHeight="true" x14ac:dyDescent="0.2">
      <c r="E10" s="319" t="s">
        <v>2</v>
      </c>
      <c r="F10" s="320"/>
      <c r="G10" s="321"/>
      <c r="H10" s="322"/>
    </row>
    <row r="11" spans="1:22" ht="13.5" hidden="1" customHeight="true" thickBot="1" x14ac:dyDescent="0.25">
      <c r="E11" s="326" t="s">
        <v>7</v>
      </c>
      <c r="F11" s="327"/>
      <c r="G11" s="328"/>
      <c r="H11" s="329"/>
    </row>
    <row r="12" spans="1:22" s="278" customFormat="1" ht="25.5" customHeight="true" x14ac:dyDescent="0.2">
      <c r="B12" s="288" t="s">
        <v>1178</v>
      </c>
      <c r="C12" s="288"/>
      <c r="D12" s="289"/>
      <c r="E12" s="339" t="s">
        <v>1373</v>
      </c>
      <c r="F12" s="340"/>
      <c r="G12" s="340"/>
      <c r="H12" s="340"/>
      <c r="I12" s="341"/>
      <c r="J12" s="277"/>
      <c r="K12" s="342" t="s">
        <v>23</v>
      </c>
      <c r="L12" s="343"/>
      <c r="M12" s="343"/>
      <c r="N12" s="343"/>
      <c r="O12" s="343"/>
      <c r="P12" s="343"/>
      <c r="Q12" s="343"/>
      <c r="R12" s="344"/>
      <c r="U12" s="279"/>
      <c r="V12" s="279"/>
    </row>
    <row r="13" spans="1:22" s="278" customFormat="1" ht="25.5" customHeight="true" x14ac:dyDescent="0.2">
      <c r="B13" s="288" t="s">
        <v>1179</v>
      </c>
      <c r="C13" s="288"/>
      <c r="D13" s="288"/>
      <c r="E13" s="339" t="s">
        <v>1374</v>
      </c>
      <c r="F13" s="340"/>
      <c r="G13" s="340"/>
      <c r="H13" s="340"/>
      <c r="I13" s="341"/>
      <c r="J13" s="277"/>
      <c r="K13" s="345" t="s">
        <v>24</v>
      </c>
      <c r="L13" s="346"/>
      <c r="M13" s="347" t="s">
        <v>25</v>
      </c>
      <c r="N13" s="347"/>
      <c r="O13" s="347" t="s">
        <v>1169</v>
      </c>
      <c r="P13" s="347"/>
      <c r="Q13" s="347" t="s">
        <v>26</v>
      </c>
      <c r="R13" s="348"/>
      <c r="U13" s="279"/>
      <c r="V13" s="279"/>
    </row>
    <row r="14" spans="1:22" s="278" customFormat="1" ht="25.5" customHeight="true" x14ac:dyDescent="0.2">
      <c r="B14" s="290" t="s">
        <v>71</v>
      </c>
      <c r="C14" s="291"/>
      <c r="D14" s="292"/>
      <c r="E14" s="349" t="s">
        <v>1375</v>
      </c>
      <c r="F14" s="350"/>
      <c r="G14" s="350"/>
      <c r="H14" s="350"/>
      <c r="I14" s="351"/>
      <c r="J14" s="277"/>
      <c r="K14" s="352" t="s">
        <v>1170</v>
      </c>
      <c r="L14" s="353"/>
      <c r="M14" s="354"/>
      <c r="N14" s="354"/>
      <c r="O14" s="354"/>
      <c r="P14" s="354"/>
      <c r="Q14" s="353" t="s">
        <v>43</v>
      </c>
      <c r="R14" s="355"/>
      <c r="U14" s="279"/>
      <c r="V14" s="279"/>
    </row>
    <row r="15" spans="1:22" s="278" customFormat="1" ht="25.5" customHeight="true" x14ac:dyDescent="0.2">
      <c r="B15" s="290" t="s">
        <v>1180</v>
      </c>
      <c r="C15" s="291"/>
      <c r="D15" s="292"/>
      <c r="E15" s="349" t="s">
        <v>1376</v>
      </c>
      <c r="F15" s="350"/>
      <c r="G15" s="350"/>
      <c r="H15" s="350"/>
      <c r="I15" s="351"/>
      <c r="J15" s="277"/>
      <c r="K15" s="352" t="s">
        <v>1171</v>
      </c>
      <c r="L15" s="353"/>
      <c r="M15" s="354"/>
      <c r="N15" s="354"/>
      <c r="O15" s="354"/>
      <c r="P15" s="354"/>
      <c r="Q15" s="353" t="s">
        <v>27</v>
      </c>
      <c r="R15" s="355"/>
      <c r="U15" s="279"/>
      <c r="V15" s="279"/>
    </row>
    <row r="16" spans="1:22" ht="27.75" customHeight="true" x14ac:dyDescent="0.2">
      <c r="B16" s="290" t="s">
        <v>1172</v>
      </c>
      <c r="C16" s="291"/>
      <c r="D16" s="292"/>
      <c r="E16" s="349" t="str">
        <f>"V"&amp;Index!C1</f>
        <v>V16.0</v>
      </c>
      <c r="F16" s="350"/>
      <c r="G16" s="350"/>
      <c r="H16" s="350"/>
      <c r="I16" s="351"/>
      <c r="K16" s="375"/>
      <c r="L16" s="376"/>
      <c r="M16" s="377"/>
      <c r="N16" s="377"/>
      <c r="O16" s="377"/>
      <c r="P16" s="377"/>
      <c r="Q16" s="376"/>
      <c r="R16" s="378"/>
      <c r="T16" s="278"/>
      <c r="U16" s="279"/>
      <c r="V16" s="279"/>
    </row>
    <row r="17" spans="2:22" ht="27.75" customHeight="true" x14ac:dyDescent="0.2">
      <c r="B17" s="379" t="s">
        <v>1168</v>
      </c>
      <c r="C17" s="379"/>
      <c r="D17" s="380"/>
      <c r="E17" s="381">
        <f>MID(CELL("filename"),SEARCH("[",CELL("filename"))+1,SEARCH("]",CELL("filename"))-SEARCH("[",CELL("filename"))-1)</f>
      </c>
      <c r="F17" s="381"/>
      <c r="G17" s="381"/>
      <c r="H17" s="381"/>
      <c r="I17" s="381"/>
      <c r="K17" s="382"/>
      <c r="L17" s="377"/>
      <c r="M17" s="377"/>
      <c r="N17" s="377"/>
      <c r="O17" s="377"/>
      <c r="P17" s="377"/>
      <c r="Q17" s="377"/>
      <c r="R17" s="383"/>
      <c r="T17" s="278"/>
      <c r="U17" s="279"/>
      <c r="V17" s="279"/>
    </row>
    <row r="18" spans="2:22" ht="9.0" customHeight="true" thickBot="1" x14ac:dyDescent="0.25">
      <c r="K18" s="356"/>
      <c r="L18" s="357"/>
      <c r="M18" s="357"/>
      <c r="N18" s="357"/>
      <c r="O18" s="357"/>
      <c r="P18" s="357"/>
      <c r="Q18" s="357"/>
      <c r="R18" s="374"/>
      <c r="T18" s="278"/>
      <c r="U18" s="279"/>
      <c r="V18" s="279"/>
    </row>
    <row r="19" spans="2:22" ht="13.5" thickBot="1" x14ac:dyDescent="0.25" customHeight="true">
      <c r="T19" s="278"/>
      <c r="U19" s="279"/>
      <c r="V19" s="279"/>
    </row>
    <row r="20" spans="2:22" s="139" customFormat="1" ht="18.0" x14ac:dyDescent="0.2" customHeight="true">
      <c r="B20" s="323" t="s">
        <v>539</v>
      </c>
      <c r="C20" s="324"/>
      <c r="D20" s="324"/>
      <c r="E20" s="324"/>
      <c r="F20" s="324"/>
      <c r="G20" s="324"/>
      <c r="H20" s="324"/>
      <c r="I20" s="325"/>
      <c r="K20" s="323" t="s">
        <v>543</v>
      </c>
      <c r="L20" s="324"/>
      <c r="M20" s="324"/>
      <c r="N20" s="324"/>
      <c r="O20" s="324"/>
      <c r="P20" s="324"/>
      <c r="Q20" s="324"/>
      <c r="R20" s="325"/>
    </row>
    <row r="21" spans="2:22" x14ac:dyDescent="0.2">
      <c r="B21" s="280" t="s">
        <v>0</v>
      </c>
      <c r="C21" s="275" t="s">
        <v>1</v>
      </c>
      <c r="D21" s="335" t="s">
        <v>4</v>
      </c>
      <c r="E21" s="336"/>
      <c r="F21" s="335" t="s">
        <v>6</v>
      </c>
      <c r="G21" s="337"/>
      <c r="H21" s="337"/>
      <c r="I21" s="338"/>
      <c r="K21" s="280" t="s">
        <v>0</v>
      </c>
      <c r="L21" s="275" t="s">
        <v>1</v>
      </c>
      <c r="M21" s="335" t="s">
        <v>4</v>
      </c>
      <c r="N21" s="336"/>
      <c r="O21" s="335" t="s">
        <v>6</v>
      </c>
      <c r="P21" s="337"/>
      <c r="Q21" s="337"/>
      <c r="R21" s="338"/>
    </row>
    <row r="22" spans="2:22" x14ac:dyDescent="0.2">
      <c r="B22" s="281" t="s">
        <v>45</v>
      </c>
      <c r="C22" s="191" t="s">
        <v>49</v>
      </c>
      <c r="D22" s="368" t="s">
        <v>42</v>
      </c>
      <c r="E22" s="369"/>
      <c r="F22" s="370" t="s">
        <v>46</v>
      </c>
      <c r="G22" s="371"/>
      <c r="H22" s="371"/>
      <c r="I22" s="372"/>
      <c r="K22" s="284"/>
      <c r="L22" s="285"/>
      <c r="M22" s="363"/>
      <c r="N22" s="364"/>
      <c r="O22" s="365"/>
      <c r="P22" s="366"/>
      <c r="Q22" s="366"/>
      <c r="R22" s="367"/>
    </row>
    <row r="23" spans="2:22" ht="12.75" customHeight="1" x14ac:dyDescent="0.2">
      <c r="B23" s="282" t="s">
        <v>515</v>
      </c>
      <c r="C23" s="283" t="s">
        <v>385</v>
      </c>
      <c r="D23" s="358" t="s">
        <v>394</v>
      </c>
      <c r="E23" s="359"/>
      <c r="F23" s="360" t="s">
        <v>376</v>
      </c>
      <c r="G23" s="361"/>
      <c r="H23" s="361"/>
      <c r="I23" s="362"/>
      <c r="K23" s="284"/>
      <c r="L23" s="285"/>
      <c r="M23" s="363"/>
      <c r="N23" s="364"/>
      <c r="O23" s="365"/>
      <c r="P23" s="366"/>
      <c r="Q23" s="366"/>
      <c r="R23" s="367"/>
    </row>
    <row r="24" spans="2:22" ht="12.75" customHeight="1" x14ac:dyDescent="0.2">
      <c r="B24" s="282" t="s">
        <v>516</v>
      </c>
      <c r="C24" s="283" t="s">
        <v>377</v>
      </c>
      <c r="D24" s="358" t="s">
        <v>378</v>
      </c>
      <c r="E24" s="359"/>
      <c r="F24" s="360" t="s">
        <v>380</v>
      </c>
      <c r="G24" s="361"/>
      <c r="H24" s="361"/>
      <c r="I24" s="362"/>
      <c r="K24" s="284"/>
      <c r="L24" s="285"/>
      <c r="M24" s="363"/>
      <c r="N24" s="364"/>
      <c r="O24" s="365"/>
      <c r="P24" s="366"/>
      <c r="Q24" s="366"/>
      <c r="R24" s="367"/>
    </row>
    <row r="25" spans="2:22" ht="17.25" customHeight="1" x14ac:dyDescent="0.2">
      <c r="B25" s="282" t="s">
        <v>517</v>
      </c>
      <c r="C25" s="283" t="s">
        <v>379</v>
      </c>
      <c r="D25" s="358" t="s">
        <v>378</v>
      </c>
      <c r="E25" s="359"/>
      <c r="F25" s="360" t="s">
        <v>381</v>
      </c>
      <c r="G25" s="361"/>
      <c r="H25" s="361"/>
      <c r="I25" s="362"/>
      <c r="K25" s="284"/>
      <c r="L25" s="285"/>
      <c r="M25" s="363"/>
      <c r="N25" s="364"/>
      <c r="O25" s="365"/>
      <c r="P25" s="366"/>
      <c r="Q25" s="366"/>
      <c r="R25" s="367"/>
    </row>
    <row r="26" spans="2:22" ht="23.25" customHeight="1" x14ac:dyDescent="0.2">
      <c r="B26" s="282" t="s">
        <v>518</v>
      </c>
      <c r="C26" s="283" t="s">
        <v>396</v>
      </c>
      <c r="D26" s="358" t="s">
        <v>395</v>
      </c>
      <c r="E26" s="359"/>
      <c r="F26" s="360" t="s">
        <v>397</v>
      </c>
      <c r="G26" s="361"/>
      <c r="H26" s="361"/>
      <c r="I26" s="362"/>
      <c r="K26" s="284"/>
      <c r="L26" s="285"/>
      <c r="M26" s="363"/>
      <c r="N26" s="364"/>
      <c r="O26" s="365"/>
      <c r="P26" s="366"/>
      <c r="Q26" s="366"/>
      <c r="R26" s="367"/>
    </row>
    <row r="27" spans="2:22" ht="23.25" customHeight="1" x14ac:dyDescent="0.2">
      <c r="B27" s="282" t="s">
        <v>519</v>
      </c>
      <c r="C27" s="283">
        <v>43301</v>
      </c>
      <c r="D27" s="358" t="s">
        <v>394</v>
      </c>
      <c r="E27" s="359"/>
      <c r="F27" s="360" t="s">
        <v>513</v>
      </c>
      <c r="G27" s="361"/>
      <c r="H27" s="361"/>
      <c r="I27" s="362"/>
      <c r="K27" s="284"/>
      <c r="L27" s="285"/>
      <c r="M27" s="363"/>
      <c r="N27" s="364"/>
      <c r="O27" s="365"/>
      <c r="P27" s="366"/>
      <c r="Q27" s="366"/>
      <c r="R27" s="367"/>
    </row>
    <row r="28" spans="2:22" ht="13.5" customHeight="1" x14ac:dyDescent="0.2">
      <c r="B28" s="282" t="s">
        <v>520</v>
      </c>
      <c r="C28" s="283">
        <v>43356</v>
      </c>
      <c r="D28" s="358" t="s">
        <v>394</v>
      </c>
      <c r="E28" s="359"/>
      <c r="F28" s="360" t="s">
        <v>514</v>
      </c>
      <c r="G28" s="361"/>
      <c r="H28" s="361"/>
      <c r="I28" s="362"/>
      <c r="K28" s="284"/>
      <c r="L28" s="285"/>
      <c r="M28" s="363"/>
      <c r="N28" s="364"/>
      <c r="O28" s="365"/>
      <c r="P28" s="366"/>
      <c r="Q28" s="366"/>
      <c r="R28" s="367"/>
    </row>
    <row r="29" spans="2:22" ht="12.75" customHeight="1" x14ac:dyDescent="0.2">
      <c r="B29" s="282" t="s">
        <v>524</v>
      </c>
      <c r="C29" s="283">
        <v>43546</v>
      </c>
      <c r="D29" s="358" t="s">
        <v>394</v>
      </c>
      <c r="E29" s="359"/>
      <c r="F29" s="360" t="s">
        <v>525</v>
      </c>
      <c r="G29" s="361"/>
      <c r="H29" s="361"/>
      <c r="I29" s="362"/>
      <c r="K29" s="284"/>
      <c r="L29" s="285"/>
      <c r="M29" s="363"/>
      <c r="N29" s="364"/>
      <c r="O29" s="365"/>
      <c r="P29" s="366"/>
      <c r="Q29" s="366"/>
      <c r="R29" s="367"/>
    </row>
    <row r="30" spans="2:22" ht="12.75" customHeight="1" x14ac:dyDescent="0.2">
      <c r="B30" s="282" t="s">
        <v>527</v>
      </c>
      <c r="C30" s="283">
        <v>43549</v>
      </c>
      <c r="D30" s="358" t="s">
        <v>394</v>
      </c>
      <c r="E30" s="359"/>
      <c r="F30" s="360" t="s">
        <v>528</v>
      </c>
      <c r="G30" s="361"/>
      <c r="H30" s="361"/>
      <c r="I30" s="362"/>
      <c r="K30" s="284"/>
      <c r="L30" s="285"/>
      <c r="M30" s="363"/>
      <c r="N30" s="364"/>
      <c r="O30" s="365"/>
      <c r="P30" s="366"/>
      <c r="Q30" s="366"/>
      <c r="R30" s="367"/>
    </row>
    <row r="31" spans="2:22" ht="12.75" customHeight="1" x14ac:dyDescent="0.2">
      <c r="B31" s="282" t="s">
        <v>535</v>
      </c>
      <c r="C31" s="283">
        <v>43549</v>
      </c>
      <c r="D31" s="358" t="s">
        <v>394</v>
      </c>
      <c r="E31" s="359"/>
      <c r="F31" s="360" t="s">
        <v>529</v>
      </c>
      <c r="G31" s="361"/>
      <c r="H31" s="361"/>
      <c r="I31" s="362"/>
      <c r="K31" s="284"/>
      <c r="L31" s="285"/>
      <c r="M31" s="363"/>
      <c r="N31" s="364"/>
      <c r="O31" s="365"/>
      <c r="P31" s="366"/>
      <c r="Q31" s="366"/>
      <c r="R31" s="367"/>
    </row>
    <row r="32" spans="2:22" ht="38.25" customHeight="1" x14ac:dyDescent="0.2">
      <c r="B32" s="282" t="s">
        <v>540</v>
      </c>
      <c r="C32" s="283">
        <v>43640</v>
      </c>
      <c r="D32" s="358" t="s">
        <v>394</v>
      </c>
      <c r="E32" s="359"/>
      <c r="F32" s="360" t="s">
        <v>541</v>
      </c>
      <c r="G32" s="361"/>
      <c r="H32" s="361"/>
      <c r="I32" s="362"/>
      <c r="K32" s="284"/>
      <c r="L32" s="285"/>
      <c r="M32" s="363"/>
      <c r="N32" s="364"/>
      <c r="O32" s="365"/>
      <c r="P32" s="366"/>
      <c r="Q32" s="366"/>
      <c r="R32" s="367"/>
    </row>
    <row r="33" spans="2:18" ht="31.5" customHeight="1" x14ac:dyDescent="0.2">
      <c r="B33" s="282" t="s">
        <v>553</v>
      </c>
      <c r="C33" s="283">
        <v>43691</v>
      </c>
      <c r="D33" s="358" t="s">
        <v>394</v>
      </c>
      <c r="E33" s="359"/>
      <c r="F33" s="360" t="s">
        <v>552</v>
      </c>
      <c r="G33" s="361"/>
      <c r="H33" s="361"/>
      <c r="I33" s="362"/>
      <c r="K33" s="284"/>
      <c r="L33" s="285"/>
      <c r="M33" s="363"/>
      <c r="N33" s="364"/>
      <c r="O33" s="365"/>
      <c r="P33" s="366"/>
      <c r="Q33" s="366"/>
      <c r="R33" s="367"/>
    </row>
    <row r="34" spans="2:18" ht="31.5" customHeight="1" x14ac:dyDescent="0.2">
      <c r="B34" s="282" t="s">
        <v>553</v>
      </c>
      <c r="C34" s="283">
        <v>43720</v>
      </c>
      <c r="D34" s="358" t="s">
        <v>558</v>
      </c>
      <c r="E34" s="359"/>
      <c r="F34" s="360" t="s">
        <v>563</v>
      </c>
      <c r="G34" s="361"/>
      <c r="H34" s="361"/>
      <c r="I34" s="362"/>
      <c r="K34" s="284"/>
      <c r="L34" s="285"/>
      <c r="M34" s="363"/>
      <c r="N34" s="364"/>
      <c r="O34" s="365"/>
      <c r="P34" s="366"/>
      <c r="Q34" s="366"/>
      <c r="R34" s="373"/>
    </row>
    <row r="35" spans="2:18" x14ac:dyDescent="0.2">
      <c r="B35" s="282" t="s">
        <v>553</v>
      </c>
      <c r="C35" s="283">
        <v>43725</v>
      </c>
      <c r="D35" s="358" t="s">
        <v>558</v>
      </c>
      <c r="E35" s="359"/>
      <c r="F35" s="360" t="s">
        <v>565</v>
      </c>
      <c r="G35" s="361"/>
      <c r="H35" s="361"/>
      <c r="I35" s="362"/>
      <c r="K35" s="284"/>
      <c r="L35" s="285"/>
      <c r="M35" s="363"/>
      <c r="N35" s="364"/>
      <c r="O35" s="365"/>
      <c r="P35" s="366"/>
      <c r="Q35" s="366"/>
      <c r="R35" s="373"/>
    </row>
    <row r="36" spans="2:18" x14ac:dyDescent="0.2">
      <c r="B36" s="282" t="s">
        <v>553</v>
      </c>
      <c r="C36" s="283">
        <v>43725</v>
      </c>
      <c r="D36" s="358" t="s">
        <v>558</v>
      </c>
      <c r="E36" s="359"/>
      <c r="F36" s="360" t="s">
        <v>566</v>
      </c>
      <c r="G36" s="361"/>
      <c r="H36" s="361"/>
      <c r="I36" s="362"/>
      <c r="K36" s="284"/>
      <c r="L36" s="285"/>
      <c r="M36" s="363"/>
      <c r="N36" s="364"/>
      <c r="O36" s="365"/>
      <c r="P36" s="366"/>
      <c r="Q36" s="366"/>
      <c r="R36" s="373"/>
    </row>
    <row r="37" spans="2:18" ht="12.75" customHeight="1" x14ac:dyDescent="0.2">
      <c r="B37" s="282" t="s">
        <v>553</v>
      </c>
      <c r="C37" s="283">
        <v>43725</v>
      </c>
      <c r="D37" s="358" t="s">
        <v>558</v>
      </c>
      <c r="E37" s="359"/>
      <c r="F37" s="360" t="s">
        <v>567</v>
      </c>
      <c r="G37" s="361"/>
      <c r="H37" s="361"/>
      <c r="I37" s="362"/>
      <c r="K37" s="284"/>
      <c r="L37" s="285"/>
      <c r="M37" s="363"/>
      <c r="N37" s="364"/>
      <c r="O37" s="365"/>
      <c r="P37" s="366"/>
      <c r="Q37" s="366"/>
      <c r="R37" s="373"/>
    </row>
    <row r="38" spans="2:18" x14ac:dyDescent="0.2">
      <c r="B38" s="282" t="s">
        <v>564</v>
      </c>
      <c r="C38" s="283">
        <v>43724</v>
      </c>
      <c r="D38" s="358" t="s">
        <v>558</v>
      </c>
      <c r="E38" s="359"/>
      <c r="F38" s="360" t="s">
        <v>568</v>
      </c>
      <c r="G38" s="361"/>
      <c r="H38" s="361"/>
      <c r="I38" s="362"/>
      <c r="K38" s="284"/>
      <c r="L38" s="285"/>
      <c r="M38" s="363"/>
      <c r="N38" s="364"/>
      <c r="O38" s="365"/>
      <c r="P38" s="366"/>
      <c r="Q38" s="366"/>
      <c r="R38" s="373"/>
    </row>
    <row r="39" spans="2:18" ht="12.75" customHeight="1" x14ac:dyDescent="0.2">
      <c r="B39" s="282" t="s">
        <v>564</v>
      </c>
      <c r="C39" s="283">
        <v>43724</v>
      </c>
      <c r="D39" s="358" t="s">
        <v>558</v>
      </c>
      <c r="E39" s="359"/>
      <c r="F39" s="360" t="s">
        <v>571</v>
      </c>
      <c r="G39" s="361"/>
      <c r="H39" s="361"/>
      <c r="I39" s="362"/>
      <c r="K39" s="284"/>
      <c r="L39" s="285"/>
      <c r="M39" s="363"/>
      <c r="N39" s="364"/>
      <c r="O39" s="365"/>
      <c r="P39" s="366"/>
      <c r="Q39" s="366"/>
      <c r="R39" s="373"/>
    </row>
    <row r="40" spans="2:18" x14ac:dyDescent="0.2">
      <c r="B40" s="282" t="s">
        <v>564</v>
      </c>
      <c r="C40" s="283">
        <v>43724</v>
      </c>
      <c r="D40" s="358" t="s">
        <v>558</v>
      </c>
      <c r="E40" s="359"/>
      <c r="F40" s="360" t="s">
        <v>570</v>
      </c>
      <c r="G40" s="361"/>
      <c r="H40" s="361"/>
      <c r="I40" s="362"/>
      <c r="K40" s="284"/>
      <c r="L40" s="285"/>
      <c r="M40" s="363"/>
      <c r="N40" s="364"/>
      <c r="O40" s="365"/>
      <c r="P40" s="366"/>
      <c r="Q40" s="366"/>
      <c r="R40" s="373"/>
    </row>
    <row r="41" spans="2:18" x14ac:dyDescent="0.2">
      <c r="B41" s="282" t="s">
        <v>564</v>
      </c>
      <c r="C41" s="283">
        <v>43725</v>
      </c>
      <c r="D41" s="358" t="s">
        <v>558</v>
      </c>
      <c r="E41" s="359"/>
      <c r="F41" s="360" t="s">
        <v>569</v>
      </c>
      <c r="G41" s="361"/>
      <c r="H41" s="361"/>
      <c r="I41" s="362"/>
      <c r="K41" s="284"/>
      <c r="L41" s="285"/>
      <c r="M41" s="363"/>
      <c r="N41" s="364"/>
      <c r="O41" s="365"/>
      <c r="P41" s="366"/>
      <c r="Q41" s="366"/>
      <c r="R41" s="373"/>
    </row>
    <row r="42" spans="2:18" x14ac:dyDescent="0.2">
      <c r="B42" s="282" t="s">
        <v>564</v>
      </c>
      <c r="C42" s="283">
        <v>43732</v>
      </c>
      <c r="D42" s="358" t="s">
        <v>558</v>
      </c>
      <c r="E42" s="359"/>
      <c r="F42" s="360" t="s">
        <v>572</v>
      </c>
      <c r="G42" s="361"/>
      <c r="H42" s="361"/>
      <c r="I42" s="362"/>
      <c r="K42" s="284"/>
      <c r="L42" s="285"/>
      <c r="M42" s="363"/>
      <c r="N42" s="364"/>
      <c r="O42" s="365"/>
      <c r="P42" s="366"/>
      <c r="Q42" s="366"/>
      <c r="R42" s="373"/>
    </row>
    <row r="43" spans="2:18" x14ac:dyDescent="0.2">
      <c r="B43" s="282" t="s">
        <v>583</v>
      </c>
      <c r="C43" s="283">
        <v>43733</v>
      </c>
      <c r="D43" s="358" t="s">
        <v>558</v>
      </c>
      <c r="E43" s="359"/>
      <c r="F43" s="360" t="s">
        <v>576</v>
      </c>
      <c r="G43" s="361"/>
      <c r="H43" s="361"/>
      <c r="I43" s="362"/>
      <c r="K43" s="284"/>
      <c r="L43" s="285"/>
      <c r="M43" s="363"/>
      <c r="N43" s="364"/>
      <c r="O43" s="365"/>
      <c r="P43" s="366"/>
      <c r="Q43" s="366"/>
      <c r="R43" s="373"/>
    </row>
    <row r="44" spans="2:18" ht="12.75" customHeight="1" x14ac:dyDescent="0.2">
      <c r="B44" s="282" t="s">
        <v>577</v>
      </c>
      <c r="C44" s="283">
        <v>43733</v>
      </c>
      <c r="D44" s="358" t="s">
        <v>558</v>
      </c>
      <c r="E44" s="359"/>
      <c r="F44" s="360" t="s">
        <v>598</v>
      </c>
      <c r="G44" s="361"/>
      <c r="H44" s="361"/>
      <c r="I44" s="362"/>
      <c r="K44" s="284"/>
      <c r="L44" s="285"/>
      <c r="M44" s="363"/>
      <c r="N44" s="364"/>
      <c r="O44" s="365"/>
      <c r="P44" s="366"/>
      <c r="Q44" s="366"/>
      <c r="R44" s="373"/>
    </row>
    <row r="45" spans="2:18" ht="12.75" customHeight="1" x14ac:dyDescent="0.2">
      <c r="B45" s="282" t="s">
        <v>577</v>
      </c>
      <c r="C45" s="283">
        <v>43733</v>
      </c>
      <c r="D45" s="358" t="s">
        <v>558</v>
      </c>
      <c r="E45" s="359"/>
      <c r="F45" s="360" t="s">
        <v>579</v>
      </c>
      <c r="G45" s="361"/>
      <c r="H45" s="361"/>
      <c r="I45" s="362"/>
      <c r="K45" s="284"/>
      <c r="L45" s="285"/>
      <c r="M45" s="363"/>
      <c r="N45" s="364"/>
      <c r="O45" s="365"/>
      <c r="P45" s="366"/>
      <c r="Q45" s="366"/>
      <c r="R45" s="373"/>
    </row>
    <row r="46" spans="2:18" ht="12.75" customHeight="1" x14ac:dyDescent="0.2">
      <c r="B46" s="282" t="s">
        <v>583</v>
      </c>
      <c r="C46" s="283">
        <v>43733</v>
      </c>
      <c r="D46" s="358" t="s">
        <v>558</v>
      </c>
      <c r="E46" s="359"/>
      <c r="F46" s="360" t="s">
        <v>576</v>
      </c>
      <c r="G46" s="361"/>
      <c r="H46" s="361"/>
      <c r="I46" s="362"/>
      <c r="K46" s="284"/>
      <c r="L46" s="285"/>
      <c r="M46" s="363"/>
      <c r="N46" s="364"/>
      <c r="O46" s="365"/>
      <c r="P46" s="366"/>
      <c r="Q46" s="366"/>
      <c r="R46" s="373"/>
    </row>
    <row r="47" spans="2:18" ht="12.75" customHeight="1" x14ac:dyDescent="0.2">
      <c r="B47" s="282" t="s">
        <v>583</v>
      </c>
      <c r="C47" s="283">
        <v>43733</v>
      </c>
      <c r="D47" s="358" t="s">
        <v>558</v>
      </c>
      <c r="E47" s="359"/>
      <c r="F47" s="360" t="s">
        <v>584</v>
      </c>
      <c r="G47" s="361"/>
      <c r="H47" s="361"/>
      <c r="I47" s="362"/>
      <c r="K47" s="284"/>
      <c r="L47" s="285"/>
      <c r="M47" s="363"/>
      <c r="N47" s="364"/>
      <c r="O47" s="365"/>
      <c r="P47" s="366"/>
      <c r="Q47" s="366"/>
      <c r="R47" s="373"/>
    </row>
    <row r="48" spans="2:18" x14ac:dyDescent="0.2">
      <c r="B48" s="282" t="s">
        <v>585</v>
      </c>
      <c r="C48" s="283">
        <v>43745</v>
      </c>
      <c r="D48" s="358" t="s">
        <v>558</v>
      </c>
      <c r="E48" s="359"/>
      <c r="F48" s="360" t="s">
        <v>586</v>
      </c>
      <c r="G48" s="361"/>
      <c r="H48" s="361"/>
      <c r="I48" s="362"/>
      <c r="K48" s="284"/>
      <c r="L48" s="285"/>
      <c r="M48" s="363"/>
      <c r="N48" s="364"/>
      <c r="O48" s="365"/>
      <c r="P48" s="366"/>
      <c r="Q48" s="366"/>
      <c r="R48" s="373"/>
    </row>
    <row r="49" spans="2:18" x14ac:dyDescent="0.2">
      <c r="B49" s="282" t="s">
        <v>596</v>
      </c>
      <c r="C49" s="283">
        <v>43753</v>
      </c>
      <c r="D49" s="358" t="s">
        <v>558</v>
      </c>
      <c r="E49" s="359"/>
      <c r="F49" s="360" t="s">
        <v>597</v>
      </c>
      <c r="G49" s="361"/>
      <c r="H49" s="361"/>
      <c r="I49" s="362"/>
      <c r="K49" s="284"/>
      <c r="L49" s="285"/>
      <c r="M49" s="363"/>
      <c r="N49" s="364"/>
      <c r="O49" s="365"/>
      <c r="P49" s="366"/>
      <c r="Q49" s="366"/>
      <c r="R49" s="373"/>
    </row>
    <row r="50" spans="2:18" ht="12.75" customHeight="1" x14ac:dyDescent="0.2">
      <c r="B50" s="282" t="s">
        <v>603</v>
      </c>
      <c r="C50" s="283">
        <v>43767</v>
      </c>
      <c r="D50" s="358" t="s">
        <v>558</v>
      </c>
      <c r="E50" s="359"/>
      <c r="F50" s="360" t="s">
        <v>604</v>
      </c>
      <c r="G50" s="361"/>
      <c r="H50" s="361"/>
      <c r="I50" s="362"/>
      <c r="K50" s="284"/>
      <c r="L50" s="285"/>
      <c r="M50" s="363"/>
      <c r="N50" s="364"/>
      <c r="O50" s="365"/>
      <c r="P50" s="366"/>
      <c r="Q50" s="366"/>
      <c r="R50" s="373"/>
    </row>
    <row r="51" spans="2:18" ht="12.75" customHeight="1" x14ac:dyDescent="0.2">
      <c r="B51" s="282" t="s">
        <v>594</v>
      </c>
      <c r="C51" s="283">
        <v>43739</v>
      </c>
      <c r="D51" s="358" t="s">
        <v>558</v>
      </c>
      <c r="E51" s="359"/>
      <c r="F51" s="360" t="s">
        <v>595</v>
      </c>
      <c r="G51" s="361"/>
      <c r="H51" s="361"/>
      <c r="I51" s="362"/>
      <c r="K51" s="284"/>
      <c r="L51" s="285"/>
      <c r="M51" s="363"/>
      <c r="N51" s="364"/>
      <c r="O51" s="365"/>
      <c r="P51" s="366"/>
      <c r="Q51" s="366"/>
      <c r="R51" s="373"/>
    </row>
    <row r="52" spans="2:18" x14ac:dyDescent="0.2">
      <c r="B52" s="283" t="s">
        <v>1099</v>
      </c>
      <c r="C52" s="283">
        <v>43739</v>
      </c>
      <c r="D52" s="358" t="s">
        <v>558</v>
      </c>
      <c r="E52" s="359"/>
      <c r="F52" s="360" t="s">
        <v>595</v>
      </c>
      <c r="G52" s="361"/>
      <c r="H52" s="361"/>
      <c r="I52" s="362"/>
      <c r="K52" s="284"/>
      <c r="L52" s="285"/>
      <c r="M52" s="363"/>
      <c r="N52" s="364"/>
      <c r="O52" s="365"/>
      <c r="P52" s="366"/>
      <c r="Q52" s="366"/>
      <c r="R52" s="373"/>
    </row>
    <row r="53" spans="2:18" x14ac:dyDescent="0.2">
      <c r="B53" s="283" t="s">
        <v>1100</v>
      </c>
      <c r="C53" s="283">
        <v>43818</v>
      </c>
      <c r="D53" s="358" t="s">
        <v>558</v>
      </c>
      <c r="E53" s="359"/>
      <c r="F53" s="360" t="s">
        <v>1101</v>
      </c>
      <c r="G53" s="361"/>
      <c r="H53" s="361"/>
      <c r="I53" s="362"/>
      <c r="K53" s="284"/>
      <c r="L53" s="285"/>
      <c r="M53" s="363"/>
      <c r="N53" s="364"/>
      <c r="O53" s="365"/>
      <c r="P53" s="366"/>
      <c r="Q53" s="366"/>
      <c r="R53" s="373"/>
    </row>
    <row r="54" spans="2:18" x14ac:dyDescent="0.2">
      <c r="B54" s="283" t="s">
        <v>1102</v>
      </c>
      <c r="C54" s="283">
        <v>43818</v>
      </c>
      <c r="D54" s="358" t="s">
        <v>558</v>
      </c>
      <c r="E54" s="359"/>
      <c r="F54" s="360" t="s">
        <v>1103</v>
      </c>
      <c r="G54" s="361"/>
      <c r="H54" s="361"/>
      <c r="I54" s="362"/>
      <c r="K54" s="284"/>
      <c r="L54" s="285"/>
      <c r="M54" s="363"/>
      <c r="N54" s="364"/>
      <c r="O54" s="365"/>
      <c r="P54" s="366"/>
      <c r="Q54" s="366"/>
      <c r="R54" s="373"/>
    </row>
    <row r="55" spans="2:18" x14ac:dyDescent="0.2">
      <c r="B55" s="283" t="s">
        <v>1104</v>
      </c>
      <c r="C55" s="283">
        <v>43858</v>
      </c>
      <c r="D55" s="358" t="s">
        <v>558</v>
      </c>
      <c r="E55" s="359"/>
      <c r="F55" s="360" t="s">
        <v>1105</v>
      </c>
      <c r="G55" s="361"/>
      <c r="H55" s="361"/>
      <c r="I55" s="362"/>
      <c r="K55" s="284"/>
      <c r="L55" s="285"/>
      <c r="M55" s="363"/>
      <c r="N55" s="364"/>
      <c r="O55" s="365"/>
      <c r="P55" s="366"/>
      <c r="Q55" s="366"/>
      <c r="R55" s="373"/>
    </row>
    <row r="56" spans="2:18" x14ac:dyDescent="0.2">
      <c r="B56" s="283" t="s">
        <v>1106</v>
      </c>
      <c r="C56" s="283">
        <v>43878</v>
      </c>
      <c r="D56" s="358" t="s">
        <v>558</v>
      </c>
      <c r="E56" s="359"/>
      <c r="F56" s="360" t="s">
        <v>1107</v>
      </c>
      <c r="G56" s="361"/>
      <c r="H56" s="361"/>
      <c r="I56" s="362"/>
      <c r="K56" s="284"/>
      <c r="L56" s="285"/>
      <c r="M56" s="363"/>
      <c r="N56" s="364"/>
      <c r="O56" s="365"/>
      <c r="P56" s="366"/>
      <c r="Q56" s="366"/>
      <c r="R56" s="373"/>
    </row>
    <row r="57" spans="2:18" ht="12.75" customHeight="1" x14ac:dyDescent="0.2">
      <c r="B57" s="283" t="s">
        <v>1108</v>
      </c>
      <c r="C57" s="283">
        <v>43892</v>
      </c>
      <c r="D57" s="358" t="s">
        <v>558</v>
      </c>
      <c r="E57" s="359"/>
      <c r="F57" s="360" t="s">
        <v>1109</v>
      </c>
      <c r="G57" s="361"/>
      <c r="H57" s="361"/>
      <c r="I57" s="362"/>
      <c r="K57" s="284"/>
      <c r="L57" s="285"/>
      <c r="M57" s="363"/>
      <c r="N57" s="364"/>
      <c r="O57" s="365"/>
      <c r="P57" s="366"/>
      <c r="Q57" s="366"/>
      <c r="R57" s="373"/>
    </row>
    <row r="58" spans="2:18" ht="12.75" customHeight="1" x14ac:dyDescent="0.2">
      <c r="B58" s="283" t="s">
        <v>1110</v>
      </c>
      <c r="C58" s="283">
        <v>43922</v>
      </c>
      <c r="D58" s="358" t="s">
        <v>558</v>
      </c>
      <c r="E58" s="359"/>
      <c r="F58" s="360" t="s">
        <v>1111</v>
      </c>
      <c r="G58" s="361"/>
      <c r="H58" s="361"/>
      <c r="I58" s="362"/>
      <c r="K58" s="284"/>
      <c r="L58" s="285"/>
      <c r="M58" s="363"/>
      <c r="N58" s="364"/>
      <c r="O58" s="365"/>
      <c r="P58" s="366"/>
      <c r="Q58" s="366"/>
      <c r="R58" s="373"/>
    </row>
    <row r="59" spans="2:18" ht="12.75" customHeight="1" x14ac:dyDescent="0.2">
      <c r="B59" s="283" t="s">
        <v>1110</v>
      </c>
      <c r="C59" s="283">
        <v>43922</v>
      </c>
      <c r="D59" s="358" t="s">
        <v>558</v>
      </c>
      <c r="E59" s="359"/>
      <c r="F59" s="360" t="s">
        <v>1112</v>
      </c>
      <c r="G59" s="361"/>
      <c r="H59" s="361"/>
      <c r="I59" s="362"/>
      <c r="K59" s="284"/>
      <c r="L59" s="285"/>
      <c r="M59" s="363"/>
      <c r="N59" s="364"/>
      <c r="O59" s="365"/>
      <c r="P59" s="366"/>
      <c r="Q59" s="366"/>
      <c r="R59" s="373"/>
    </row>
    <row r="60" spans="2:18" ht="12.75" customHeight="1" x14ac:dyDescent="0.2">
      <c r="B60" s="283" t="s">
        <v>1110</v>
      </c>
      <c r="C60" s="283">
        <v>43922</v>
      </c>
      <c r="D60" s="358" t="s">
        <v>558</v>
      </c>
      <c r="E60" s="359"/>
      <c r="F60" s="360" t="s">
        <v>1112</v>
      </c>
      <c r="G60" s="361"/>
      <c r="H60" s="361"/>
      <c r="I60" s="362"/>
      <c r="K60" s="284"/>
      <c r="L60" s="285"/>
      <c r="M60" s="363"/>
      <c r="N60" s="364"/>
      <c r="O60" s="365"/>
      <c r="P60" s="366"/>
      <c r="Q60" s="366"/>
      <c r="R60" s="373"/>
    </row>
    <row r="61" spans="2:18" ht="12.75" customHeight="1" x14ac:dyDescent="0.2">
      <c r="B61" s="283" t="s">
        <v>1113</v>
      </c>
      <c r="C61" s="283">
        <v>44040</v>
      </c>
      <c r="D61" s="358" t="s">
        <v>558</v>
      </c>
      <c r="E61" s="359"/>
      <c r="F61" s="360" t="s">
        <v>1114</v>
      </c>
      <c r="G61" s="361"/>
      <c r="H61" s="361"/>
      <c r="I61" s="362"/>
      <c r="K61" s="284"/>
      <c r="L61" s="285"/>
      <c r="M61" s="363"/>
      <c r="N61" s="364"/>
      <c r="O61" s="365"/>
      <c r="P61" s="366"/>
      <c r="Q61" s="366"/>
      <c r="R61" s="373"/>
    </row>
    <row r="62" spans="2:18" x14ac:dyDescent="0.2">
      <c r="B62" s="283" t="s">
        <v>1115</v>
      </c>
      <c r="C62" s="283">
        <v>44072</v>
      </c>
      <c r="D62" s="358" t="s">
        <v>558</v>
      </c>
      <c r="E62" s="359"/>
      <c r="F62" s="360" t="s">
        <v>1116</v>
      </c>
      <c r="G62" s="361"/>
      <c r="H62" s="361"/>
      <c r="I62" s="362"/>
      <c r="K62" s="284"/>
      <c r="L62" s="285"/>
      <c r="M62" s="363"/>
      <c r="N62" s="364"/>
      <c r="O62" s="365"/>
      <c r="P62" s="366"/>
      <c r="Q62" s="366"/>
      <c r="R62" s="373"/>
    </row>
    <row r="63" spans="2:18" ht="12.75" customHeight="1" x14ac:dyDescent="0.2">
      <c r="B63" s="283" t="s">
        <v>1117</v>
      </c>
      <c r="C63" s="283">
        <v>44095</v>
      </c>
      <c r="D63" s="358" t="s">
        <v>558</v>
      </c>
      <c r="E63" s="359"/>
      <c r="F63" s="360" t="s">
        <v>1118</v>
      </c>
      <c r="G63" s="361"/>
      <c r="H63" s="361"/>
      <c r="I63" s="362"/>
      <c r="K63" s="284"/>
      <c r="L63" s="285"/>
      <c r="M63" s="363"/>
      <c r="N63" s="364"/>
      <c r="O63" s="365"/>
      <c r="P63" s="366"/>
      <c r="Q63" s="366"/>
      <c r="R63" s="373"/>
    </row>
    <row r="64" spans="2:18" x14ac:dyDescent="0.2">
      <c r="B64" s="283" t="s">
        <v>1119</v>
      </c>
      <c r="C64" s="283">
        <v>44111</v>
      </c>
      <c r="D64" s="358" t="s">
        <v>378</v>
      </c>
      <c r="E64" s="359"/>
      <c r="F64" s="360" t="s">
        <v>1120</v>
      </c>
      <c r="G64" s="361"/>
      <c r="H64" s="361"/>
      <c r="I64" s="362"/>
      <c r="K64" s="284"/>
      <c r="L64" s="285"/>
      <c r="M64" s="363"/>
      <c r="N64" s="364"/>
      <c r="O64" s="365"/>
      <c r="P64" s="366"/>
      <c r="Q64" s="366"/>
      <c r="R64" s="373"/>
    </row>
    <row r="65" spans="2:18" x14ac:dyDescent="0.2">
      <c r="B65" s="283" t="s">
        <v>1124</v>
      </c>
      <c r="C65" s="283">
        <v>44183</v>
      </c>
      <c r="D65" s="358" t="s">
        <v>378</v>
      </c>
      <c r="E65" s="359"/>
      <c r="F65" s="360" t="s">
        <v>1125</v>
      </c>
      <c r="G65" s="361"/>
      <c r="H65" s="361"/>
      <c r="I65" s="362"/>
      <c r="K65" s="284"/>
      <c r="L65" s="285"/>
      <c r="M65" s="363"/>
      <c r="N65" s="364"/>
      <c r="O65" s="365"/>
      <c r="P65" s="366"/>
      <c r="Q65" s="366"/>
      <c r="R65" s="373"/>
    </row>
    <row r="66" spans="2:18" x14ac:dyDescent="0.2">
      <c r="B66" s="283" t="s">
        <v>1130</v>
      </c>
      <c r="C66" s="283">
        <v>44245</v>
      </c>
      <c r="D66" s="358" t="s">
        <v>1129</v>
      </c>
      <c r="E66" s="359"/>
      <c r="F66" s="360" t="s">
        <v>1128</v>
      </c>
      <c r="G66" s="361"/>
      <c r="H66" s="361"/>
      <c r="I66" s="362"/>
      <c r="K66" s="284"/>
      <c r="L66" s="285"/>
      <c r="M66" s="363"/>
      <c r="N66" s="364"/>
      <c r="O66" s="365"/>
      <c r="P66" s="366"/>
      <c r="Q66" s="366"/>
      <c r="R66" s="373"/>
    </row>
    <row r="67" spans="2:18" ht="12.75" customHeight="1" x14ac:dyDescent="0.2">
      <c r="B67" s="283" t="s">
        <v>1149</v>
      </c>
      <c r="C67" s="283">
        <v>44270</v>
      </c>
      <c r="D67" s="358" t="s">
        <v>1129</v>
      </c>
      <c r="E67" s="359"/>
      <c r="F67" s="360" t="s">
        <v>1150</v>
      </c>
      <c r="G67" s="361"/>
      <c r="H67" s="361"/>
      <c r="I67" s="362"/>
      <c r="K67" s="284"/>
      <c r="L67" s="285"/>
      <c r="M67" s="363"/>
      <c r="N67" s="364"/>
      <c r="O67" s="365"/>
      <c r="P67" s="366"/>
      <c r="Q67" s="366"/>
      <c r="R67" s="373"/>
    </row>
    <row r="68" spans="2:18" x14ac:dyDescent="0.2">
      <c r="B68" s="283" t="s">
        <v>1151</v>
      </c>
      <c r="C68" s="283">
        <v>44285</v>
      </c>
      <c r="D68" s="358" t="s">
        <v>1129</v>
      </c>
      <c r="E68" s="359"/>
      <c r="F68" s="360" t="s">
        <v>1152</v>
      </c>
      <c r="G68" s="361"/>
      <c r="H68" s="361"/>
      <c r="I68" s="362"/>
      <c r="K68" s="284"/>
      <c r="L68" s="285"/>
      <c r="M68" s="363"/>
      <c r="N68" s="364"/>
      <c r="O68" s="365"/>
      <c r="P68" s="366"/>
      <c r="Q68" s="366"/>
      <c r="R68" s="373"/>
    </row>
    <row r="69" spans="2:18" x14ac:dyDescent="0.2">
      <c r="B69" s="283" t="s">
        <v>1154</v>
      </c>
      <c r="C69" s="283">
        <v>44363</v>
      </c>
      <c r="D69" s="358" t="s">
        <v>1155</v>
      </c>
      <c r="E69" s="359"/>
      <c r="F69" s="360" t="s">
        <v>1153</v>
      </c>
      <c r="G69" s="361"/>
      <c r="H69" s="361"/>
      <c r="I69" s="362"/>
      <c r="K69" s="284"/>
      <c r="L69" s="285"/>
      <c r="M69" s="363"/>
      <c r="N69" s="364"/>
      <c r="O69" s="365"/>
      <c r="P69" s="366"/>
      <c r="Q69" s="366"/>
      <c r="R69" s="373"/>
    </row>
    <row r="70" spans="2:18" x14ac:dyDescent="0.2">
      <c r="B70" s="283" t="s">
        <v>1156</v>
      </c>
      <c r="C70" s="283">
        <v>44392</v>
      </c>
      <c r="D70" s="358" t="s">
        <v>1155</v>
      </c>
      <c r="E70" s="359"/>
      <c r="F70" s="360" t="s">
        <v>1157</v>
      </c>
      <c r="G70" s="361"/>
      <c r="H70" s="361"/>
      <c r="I70" s="362"/>
      <c r="K70" s="284"/>
      <c r="L70" s="285"/>
      <c r="M70" s="363"/>
      <c r="N70" s="364"/>
      <c r="O70" s="365"/>
      <c r="P70" s="366"/>
      <c r="Q70" s="366"/>
      <c r="R70" s="373"/>
    </row>
    <row r="71" spans="2:18" x14ac:dyDescent="0.2">
      <c r="B71" s="283" t="s">
        <v>1161</v>
      </c>
      <c r="C71" s="283">
        <v>44547</v>
      </c>
      <c r="D71" s="358" t="s">
        <v>378</v>
      </c>
      <c r="E71" s="359"/>
      <c r="F71" s="360" t="s">
        <v>1162</v>
      </c>
      <c r="G71" s="361"/>
      <c r="H71" s="361"/>
      <c r="I71" s="362"/>
      <c r="K71" s="284"/>
      <c r="L71" s="285"/>
      <c r="M71" s="363"/>
      <c r="N71" s="364"/>
      <c r="O71" s="365"/>
      <c r="P71" s="366"/>
      <c r="Q71" s="366"/>
      <c r="R71" s="373"/>
    </row>
    <row r="72" spans="2:18" x14ac:dyDescent="0.2">
      <c r="B72" s="283" t="s">
        <v>1166</v>
      </c>
      <c r="C72" s="283">
        <v>44258</v>
      </c>
      <c r="D72" s="358" t="s">
        <v>378</v>
      </c>
      <c r="E72" s="359"/>
      <c r="F72" s="360" t="s">
        <v>1165</v>
      </c>
      <c r="G72" s="361"/>
      <c r="H72" s="361"/>
      <c r="I72" s="362"/>
      <c r="K72" s="284"/>
      <c r="L72" s="285"/>
      <c r="M72" s="363"/>
      <c r="N72" s="364"/>
      <c r="O72" s="365"/>
      <c r="P72" s="366"/>
      <c r="Q72" s="366"/>
      <c r="R72" s="373"/>
    </row>
    <row r="73" spans="2:18" x14ac:dyDescent="0.2">
      <c r="B73" s="283" t="s">
        <v>1176</v>
      </c>
      <c r="C73" s="283">
        <v>44693</v>
      </c>
      <c r="D73" s="358" t="s">
        <v>378</v>
      </c>
      <c r="E73" s="359"/>
      <c r="F73" s="360" t="s">
        <v>1177</v>
      </c>
      <c r="G73" s="361"/>
      <c r="H73" s="361"/>
      <c r="I73" s="362"/>
      <c r="K73" s="284"/>
      <c r="L73" s="285"/>
      <c r="M73" s="363"/>
      <c r="N73" s="364"/>
      <c r="O73" s="365"/>
      <c r="P73" s="366"/>
      <c r="Q73" s="366"/>
      <c r="R73" s="373"/>
    </row>
    <row r="74" spans="2:18" x14ac:dyDescent="0.2">
      <c r="B74" s="283" t="s">
        <v>1181</v>
      </c>
      <c r="C74" s="283">
        <v>44706</v>
      </c>
      <c r="D74" s="358" t="s">
        <v>1182</v>
      </c>
      <c r="E74" s="359"/>
      <c r="F74" s="360" t="s">
        <v>1183</v>
      </c>
      <c r="G74" s="361"/>
      <c r="H74" s="361"/>
      <c r="I74" s="362"/>
      <c r="K74" s="284"/>
      <c r="L74" s="285"/>
      <c r="M74" s="363"/>
      <c r="N74" s="364"/>
      <c r="O74" s="365"/>
      <c r="P74" s="366"/>
      <c r="Q74" s="366"/>
      <c r="R74" s="373"/>
    </row>
    <row r="75" spans="2:18" x14ac:dyDescent="0.2">
      <c r="B75" s="283" t="s">
        <v>1323</v>
      </c>
      <c r="C75" s="283">
        <v>44713</v>
      </c>
      <c r="D75" s="358" t="s">
        <v>378</v>
      </c>
      <c r="E75" s="359"/>
      <c r="F75" s="360" t="s">
        <v>1322</v>
      </c>
      <c r="G75" s="361"/>
      <c r="H75" s="361"/>
      <c r="I75" s="362"/>
      <c r="K75" s="284"/>
      <c r="L75" s="285"/>
      <c r="M75" s="363"/>
      <c r="N75" s="364"/>
      <c r="O75" s="365"/>
      <c r="P75" s="366"/>
      <c r="Q75" s="366"/>
      <c r="R75" s="373"/>
    </row>
    <row r="76" spans="2:18" x14ac:dyDescent="0.2">
      <c r="B76" s="283" t="s">
        <v>1331</v>
      </c>
      <c r="C76" s="283">
        <v>44805</v>
      </c>
      <c r="D76" s="358" t="s">
        <v>378</v>
      </c>
      <c r="E76" s="359"/>
      <c r="F76" s="360" t="s">
        <v>1325</v>
      </c>
      <c r="G76" s="361"/>
      <c r="H76" s="361"/>
      <c r="I76" s="362"/>
      <c r="K76" s="284"/>
      <c r="L76" s="285"/>
      <c r="M76" s="363"/>
      <c r="N76" s="364"/>
      <c r="O76" s="365"/>
      <c r="P76" s="366"/>
      <c r="Q76" s="366"/>
      <c r="R76" s="373"/>
    </row>
    <row r="77" spans="2:18" x14ac:dyDescent="0.2">
      <c r="B77" s="283" t="s">
        <v>1348</v>
      </c>
      <c r="C77" s="283">
        <v>44836</v>
      </c>
      <c r="D77" s="358" t="s">
        <v>1332</v>
      </c>
      <c r="E77" s="359"/>
      <c r="F77" s="360" t="s">
        <v>1333</v>
      </c>
      <c r="G77" s="361"/>
      <c r="H77" s="361"/>
      <c r="I77" s="362"/>
      <c r="K77" s="284"/>
      <c r="L77" s="285"/>
      <c r="M77" s="363"/>
      <c r="N77" s="364"/>
      <c r="O77" s="365"/>
      <c r="P77" s="366"/>
      <c r="Q77" s="366"/>
      <c r="R77" s="373"/>
    </row>
    <row r="78" spans="2:18" ht="26.25" customHeight="1" x14ac:dyDescent="0.2">
      <c r="B78" s="283" t="s">
        <v>1359</v>
      </c>
      <c r="C78" s="283">
        <v>44938</v>
      </c>
      <c r="D78" s="358" t="s">
        <v>378</v>
      </c>
      <c r="E78" s="359"/>
      <c r="F78" s="360" t="s">
        <v>1349</v>
      </c>
      <c r="G78" s="361"/>
      <c r="H78" s="361"/>
      <c r="I78" s="362"/>
      <c r="K78" s="284"/>
      <c r="L78" s="285"/>
      <c r="M78" s="363"/>
      <c r="N78" s="364"/>
      <c r="O78" s="365"/>
      <c r="P78" s="366"/>
      <c r="Q78" s="366"/>
      <c r="R78" s="373"/>
    </row>
    <row r="79" spans="2:18" x14ac:dyDescent="0.2">
      <c r="B79" s="283" t="s">
        <v>1357</v>
      </c>
      <c r="C79" s="283">
        <v>44995</v>
      </c>
      <c r="D79" s="358" t="s">
        <v>1182</v>
      </c>
      <c r="E79" s="359"/>
      <c r="F79" s="360" t="s">
        <v>1358</v>
      </c>
      <c r="G79" s="361"/>
      <c r="H79" s="361"/>
      <c r="I79" s="362"/>
      <c r="K79" s="284"/>
      <c r="L79" s="285"/>
      <c r="M79" s="363"/>
      <c r="N79" s="364"/>
      <c r="O79" s="365"/>
      <c r="P79" s="366"/>
      <c r="Q79" s="366"/>
      <c r="R79" s="373"/>
    </row>
    <row r="80" spans="2:18" x14ac:dyDescent="0.2">
      <c r="B80" s="283" t="s">
        <v>1360</v>
      </c>
      <c r="C80" s="283">
        <v>45029</v>
      </c>
      <c r="D80" s="358" t="s">
        <v>1182</v>
      </c>
      <c r="E80" s="359"/>
      <c r="F80" s="360" t="s">
        <v>1361</v>
      </c>
      <c r="G80" s="361"/>
      <c r="H80" s="361"/>
      <c r="I80" s="362"/>
      <c r="K80" s="284"/>
      <c r="L80" s="285"/>
      <c r="M80" s="363"/>
      <c r="N80" s="364"/>
      <c r="O80" s="365"/>
      <c r="P80" s="366"/>
      <c r="Q80" s="366"/>
      <c r="R80" s="373"/>
    </row>
    <row r="81" spans="2:18" x14ac:dyDescent="0.2">
      <c r="B81" s="283" t="s">
        <v>1363</v>
      </c>
      <c r="C81" s="283">
        <v>45043</v>
      </c>
      <c r="D81" s="358" t="s">
        <v>1182</v>
      </c>
      <c r="E81" s="359"/>
      <c r="F81" s="360" t="s">
        <v>1364</v>
      </c>
      <c r="G81" s="361"/>
      <c r="H81" s="361"/>
      <c r="I81" s="362"/>
      <c r="K81" s="284"/>
      <c r="L81" s="285"/>
      <c r="M81" s="363"/>
      <c r="N81" s="364"/>
      <c r="O81" s="365"/>
      <c r="P81" s="366"/>
      <c r="Q81" s="366"/>
      <c r="R81" s="373"/>
    </row>
    <row r="82" spans="2:18" x14ac:dyDescent="0.2">
      <c r="B82" s="283" t="s">
        <v>1370</v>
      </c>
      <c r="C82" s="283">
        <v>45083</v>
      </c>
      <c r="D82" s="358" t="s">
        <v>378</v>
      </c>
      <c r="E82" s="359"/>
      <c r="F82" s="360" t="s">
        <v>1371</v>
      </c>
      <c r="G82" s="361"/>
      <c r="H82" s="361"/>
      <c r="I82" s="362"/>
      <c r="K82" s="284"/>
      <c r="L82" s="285"/>
      <c r="M82" s="363"/>
      <c r="N82" s="364"/>
      <c r="O82" s="365"/>
      <c r="P82" s="366"/>
      <c r="Q82" s="366"/>
      <c r="R82" s="373"/>
    </row>
    <row r="83" spans="2:18" x14ac:dyDescent="0.2">
      <c r="B83" s="284"/>
      <c r="C83" s="285"/>
      <c r="D83" s="363"/>
      <c r="E83" s="364"/>
      <c r="F83" s="365"/>
      <c r="G83" s="366"/>
      <c r="H83" s="366"/>
      <c r="I83" s="373"/>
      <c r="K83" s="284"/>
      <c r="L83" s="285"/>
      <c r="M83" s="363"/>
      <c r="N83" s="364"/>
      <c r="O83" s="365"/>
      <c r="P83" s="366"/>
      <c r="Q83" s="366"/>
      <c r="R83" s="373"/>
    </row>
    <row r="84" spans="2:18" x14ac:dyDescent="0.2">
      <c r="B84" s="284"/>
      <c r="C84" s="285"/>
      <c r="D84" s="363"/>
      <c r="E84" s="364"/>
      <c r="F84" s="365"/>
      <c r="G84" s="366"/>
      <c r="H84" s="366"/>
      <c r="I84" s="373"/>
      <c r="K84" s="284"/>
      <c r="L84" s="285"/>
      <c r="M84" s="363"/>
      <c r="N84" s="364"/>
      <c r="O84" s="365"/>
      <c r="P84" s="366"/>
      <c r="Q84" s="366"/>
      <c r="R84" s="373"/>
    </row>
    <row r="85" spans="2:18" x14ac:dyDescent="0.2">
      <c r="B85" s="284"/>
      <c r="C85" s="285"/>
      <c r="D85" s="363"/>
      <c r="E85" s="364"/>
      <c r="F85" s="365"/>
      <c r="G85" s="366"/>
      <c r="H85" s="366"/>
      <c r="I85" s="373"/>
      <c r="K85" s="284"/>
      <c r="L85" s="285"/>
      <c r="M85" s="363"/>
      <c r="N85" s="364"/>
      <c r="O85" s="365"/>
      <c r="P85" s="366"/>
      <c r="Q85" s="366"/>
      <c r="R85" s="373"/>
    </row>
    <row r="86" spans="2:18" x14ac:dyDescent="0.2">
      <c r="B86" s="284"/>
      <c r="C86" s="285"/>
      <c r="D86" s="363"/>
      <c r="E86" s="364"/>
      <c r="F86" s="365"/>
      <c r="G86" s="366"/>
      <c r="H86" s="366"/>
      <c r="I86" s="373"/>
      <c r="K86" s="284"/>
      <c r="L86" s="285"/>
      <c r="M86" s="363"/>
      <c r="N86" s="364"/>
      <c r="O86" s="365"/>
      <c r="P86" s="366"/>
      <c r="Q86" s="366"/>
      <c r="R86" s="373"/>
    </row>
    <row r="87" spans="2:18" x14ac:dyDescent="0.2">
      <c r="B87" s="284"/>
      <c r="C87" s="285"/>
      <c r="D87" s="363"/>
      <c r="E87" s="364"/>
      <c r="F87" s="365"/>
      <c r="G87" s="366"/>
      <c r="H87" s="366"/>
      <c r="I87" s="373"/>
      <c r="K87" s="284"/>
      <c r="L87" s="285"/>
      <c r="M87" s="363"/>
      <c r="N87" s="364"/>
      <c r="O87" s="365"/>
      <c r="P87" s="366"/>
      <c r="Q87" s="366"/>
      <c r="R87" s="373"/>
    </row>
    <row r="88" spans="2:18" x14ac:dyDescent="0.2">
      <c r="B88" s="284"/>
      <c r="C88" s="285"/>
      <c r="D88" s="363"/>
      <c r="E88" s="364"/>
      <c r="F88" s="365"/>
      <c r="G88" s="366"/>
      <c r="H88" s="366"/>
      <c r="I88" s="373"/>
      <c r="K88" s="284"/>
      <c r="L88" s="285"/>
      <c r="M88" s="363"/>
      <c r="N88" s="364"/>
      <c r="O88" s="365"/>
      <c r="P88" s="366"/>
      <c r="Q88" s="366"/>
      <c r="R88" s="373"/>
    </row>
    <row r="89" spans="2:18" x14ac:dyDescent="0.2">
      <c r="B89" s="284"/>
      <c r="C89" s="285"/>
      <c r="D89" s="363"/>
      <c r="E89" s="364"/>
      <c r="F89" s="365"/>
      <c r="G89" s="366"/>
      <c r="H89" s="366"/>
      <c r="I89" s="373"/>
      <c r="K89" s="284"/>
      <c r="L89" s="285"/>
      <c r="M89" s="363"/>
      <c r="N89" s="364"/>
      <c r="O89" s="365"/>
      <c r="P89" s="366"/>
      <c r="Q89" s="366"/>
      <c r="R89" s="373"/>
    </row>
    <row r="90" spans="2:18" x14ac:dyDescent="0.2">
      <c r="B90" s="284"/>
      <c r="C90" s="285"/>
      <c r="D90" s="363"/>
      <c r="E90" s="364"/>
      <c r="F90" s="365"/>
      <c r="G90" s="366"/>
      <c r="H90" s="366"/>
      <c r="I90" s="373"/>
      <c r="K90" s="284"/>
      <c r="L90" s="285"/>
      <c r="M90" s="363"/>
      <c r="N90" s="364"/>
      <c r="O90" s="365"/>
      <c r="P90" s="366"/>
      <c r="Q90" s="366"/>
      <c r="R90" s="373"/>
    </row>
    <row r="91" spans="2:18" x14ac:dyDescent="0.2">
      <c r="B91" s="284"/>
      <c r="C91" s="285"/>
      <c r="D91" s="363"/>
      <c r="E91" s="364"/>
      <c r="F91" s="365"/>
      <c r="G91" s="366"/>
      <c r="H91" s="366"/>
      <c r="I91" s="373"/>
      <c r="K91" s="284"/>
      <c r="L91" s="285"/>
      <c r="M91" s="363"/>
      <c r="N91" s="364"/>
      <c r="O91" s="365"/>
      <c r="P91" s="366"/>
      <c r="Q91" s="366"/>
      <c r="R91" s="373"/>
    </row>
    <row r="92" spans="2:18" x14ac:dyDescent="0.2">
      <c r="B92" s="284"/>
      <c r="C92" s="285"/>
      <c r="D92" s="363"/>
      <c r="E92" s="364"/>
      <c r="F92" s="365"/>
      <c r="G92" s="366"/>
      <c r="H92" s="366"/>
      <c r="I92" s="373"/>
      <c r="K92" s="284"/>
      <c r="L92" s="285"/>
      <c r="M92" s="363"/>
      <c r="N92" s="364"/>
      <c r="O92" s="365"/>
      <c r="P92" s="366"/>
      <c r="Q92" s="366"/>
      <c r="R92" s="373"/>
    </row>
    <row r="93" spans="2:18" x14ac:dyDescent="0.2">
      <c r="B93" s="284"/>
      <c r="C93" s="285"/>
      <c r="D93" s="363"/>
      <c r="E93" s="364"/>
      <c r="F93" s="365"/>
      <c r="G93" s="366"/>
      <c r="H93" s="366"/>
      <c r="I93" s="373"/>
      <c r="K93" s="284"/>
      <c r="L93" s="285"/>
      <c r="M93" s="363"/>
      <c r="N93" s="364"/>
      <c r="O93" s="365"/>
      <c r="P93" s="366"/>
      <c r="Q93" s="366"/>
      <c r="R93" s="373"/>
    </row>
    <row r="94" spans="2:18" x14ac:dyDescent="0.2">
      <c r="B94" s="284"/>
      <c r="C94" s="285"/>
      <c r="D94" s="363"/>
      <c r="E94" s="364"/>
      <c r="F94" s="365"/>
      <c r="G94" s="366"/>
      <c r="H94" s="366"/>
      <c r="I94" s="373"/>
      <c r="K94" s="284"/>
      <c r="L94" s="285"/>
      <c r="M94" s="363"/>
      <c r="N94" s="364"/>
      <c r="O94" s="365"/>
      <c r="P94" s="366"/>
      <c r="Q94" s="366"/>
      <c r="R94" s="373"/>
    </row>
    <row r="95" spans="2:18" x14ac:dyDescent="0.2">
      <c r="B95" s="284"/>
      <c r="C95" s="285"/>
      <c r="D95" s="363"/>
      <c r="E95" s="364"/>
      <c r="F95" s="365"/>
      <c r="G95" s="366"/>
      <c r="H95" s="366"/>
      <c r="I95" s="373"/>
      <c r="K95" s="284"/>
      <c r="L95" s="285"/>
      <c r="M95" s="363"/>
      <c r="N95" s="364"/>
      <c r="O95" s="365"/>
      <c r="P95" s="366"/>
      <c r="Q95" s="366"/>
      <c r="R95" s="373"/>
    </row>
    <row r="96" spans="2:18" x14ac:dyDescent="0.2">
      <c r="B96" s="284"/>
      <c r="C96" s="285"/>
      <c r="D96" s="363"/>
      <c r="E96" s="364"/>
      <c r="F96" s="365"/>
      <c r="G96" s="366"/>
      <c r="H96" s="366"/>
      <c r="I96" s="373"/>
      <c r="K96" s="284"/>
      <c r="L96" s="285"/>
      <c r="M96" s="363"/>
      <c r="N96" s="364"/>
      <c r="O96" s="365"/>
      <c r="P96" s="366"/>
      <c r="Q96" s="366"/>
      <c r="R96" s="373"/>
    </row>
    <row r="97" spans="2:18" x14ac:dyDescent="0.2">
      <c r="B97" s="284"/>
      <c r="C97" s="285"/>
      <c r="D97" s="363"/>
      <c r="E97" s="364"/>
      <c r="F97" s="365"/>
      <c r="G97" s="366"/>
      <c r="H97" s="366"/>
      <c r="I97" s="373"/>
      <c r="K97" s="284"/>
      <c r="L97" s="285"/>
      <c r="M97" s="363"/>
      <c r="N97" s="364"/>
      <c r="O97" s="365"/>
      <c r="P97" s="366"/>
      <c r="Q97" s="366"/>
      <c r="R97" s="373"/>
    </row>
    <row r="98" spans="2:18" x14ac:dyDescent="0.2">
      <c r="B98" s="284"/>
      <c r="C98" s="285"/>
      <c r="D98" s="363"/>
      <c r="E98" s="364"/>
      <c r="F98" s="365"/>
      <c r="G98" s="366"/>
      <c r="H98" s="366"/>
      <c r="I98" s="373"/>
      <c r="K98" s="284"/>
      <c r="L98" s="285"/>
      <c r="M98" s="363"/>
      <c r="N98" s="364"/>
      <c r="O98" s="365"/>
      <c r="P98" s="366"/>
      <c r="Q98" s="366"/>
      <c r="R98" s="373"/>
    </row>
    <row r="99" spans="2:18" x14ac:dyDescent="0.2">
      <c r="B99" s="284"/>
      <c r="C99" s="285"/>
      <c r="D99" s="363"/>
      <c r="E99" s="364"/>
      <c r="F99" s="365"/>
      <c r="G99" s="366"/>
      <c r="H99" s="366"/>
      <c r="I99" s="373"/>
      <c r="K99" s="284"/>
      <c r="L99" s="285"/>
      <c r="M99" s="363"/>
      <c r="N99" s="364"/>
      <c r="O99" s="365"/>
      <c r="P99" s="366"/>
      <c r="Q99" s="366"/>
      <c r="R99" s="373"/>
    </row>
    <row r="100" spans="2:18" x14ac:dyDescent="0.2">
      <c r="B100" s="284"/>
      <c r="C100" s="285"/>
      <c r="D100" s="363"/>
      <c r="E100" s="364"/>
      <c r="F100" s="365"/>
      <c r="G100" s="366"/>
      <c r="H100" s="366"/>
      <c r="I100" s="373"/>
      <c r="K100" s="284"/>
      <c r="L100" s="285"/>
      <c r="M100" s="363"/>
      <c r="N100" s="364"/>
      <c r="O100" s="365"/>
      <c r="P100" s="366"/>
      <c r="Q100" s="366"/>
      <c r="R100" s="373"/>
    </row>
    <row r="101" spans="2:18" x14ac:dyDescent="0.2">
      <c r="B101" s="284"/>
      <c r="C101" s="285"/>
      <c r="D101" s="363"/>
      <c r="E101" s="364"/>
      <c r="F101" s="365"/>
      <c r="G101" s="366"/>
      <c r="H101" s="366"/>
      <c r="I101" s="373"/>
      <c r="K101" s="284"/>
      <c r="L101" s="285"/>
      <c r="M101" s="363"/>
      <c r="N101" s="364"/>
      <c r="O101" s="365"/>
      <c r="P101" s="366"/>
      <c r="Q101" s="366"/>
      <c r="R101" s="373"/>
    </row>
    <row r="102" spans="2:18" x14ac:dyDescent="0.2">
      <c r="B102" s="284"/>
      <c r="C102" s="285"/>
      <c r="D102" s="363"/>
      <c r="E102" s="364"/>
      <c r="F102" s="365"/>
      <c r="G102" s="366"/>
      <c r="H102" s="366"/>
      <c r="I102" s="373"/>
      <c r="K102" s="284"/>
      <c r="L102" s="285"/>
      <c r="M102" s="363"/>
      <c r="N102" s="364"/>
      <c r="O102" s="365"/>
      <c r="P102" s="366"/>
      <c r="Q102" s="366"/>
      <c r="R102" s="373"/>
    </row>
    <row r="103" spans="2:18" x14ac:dyDescent="0.2">
      <c r="B103" s="284"/>
      <c r="C103" s="285"/>
      <c r="D103" s="363"/>
      <c r="E103" s="364"/>
      <c r="F103" s="365"/>
      <c r="G103" s="366"/>
      <c r="H103" s="366"/>
      <c r="I103" s="373"/>
      <c r="K103" s="284"/>
      <c r="L103" s="285"/>
      <c r="M103" s="363"/>
      <c r="N103" s="364"/>
      <c r="O103" s="365"/>
      <c r="P103" s="366"/>
      <c r="Q103" s="366"/>
      <c r="R103" s="373"/>
    </row>
    <row r="104" spans="2:18" x14ac:dyDescent="0.2">
      <c r="B104" s="284"/>
      <c r="C104" s="285"/>
      <c r="D104" s="363"/>
      <c r="E104" s="364"/>
      <c r="F104" s="365"/>
      <c r="G104" s="366"/>
      <c r="H104" s="366"/>
      <c r="I104" s="373"/>
      <c r="K104" s="284"/>
      <c r="L104" s="285"/>
      <c r="M104" s="363"/>
      <c r="N104" s="364"/>
      <c r="O104" s="365"/>
      <c r="P104" s="366"/>
      <c r="Q104" s="366"/>
      <c r="R104" s="373"/>
    </row>
  </sheetData>
  <mergeCells count="53">
    <mergeCell ref="B1:R1"/>
    <mergeCell ref="B17:D17"/>
    <mergeCell ref="B20:I20"/>
    <mergeCell ref="E3:H3"/>
    <mergeCell ref="E4:F4"/>
    <mergeCell ref="E5:F5"/>
    <mergeCell ref="E6:F6"/>
    <mergeCell ref="E7:F7"/>
    <mergeCell ref="E8:F8"/>
    <mergeCell ref="E9:F9"/>
    <mergeCell ref="E10:F10"/>
    <mergeCell ref="E11:F11"/>
    <mergeCell ref="E12:I12"/>
    <mergeCell ref="E13:I13"/>
    <mergeCell ref="E14:I14"/>
    <mergeCell ref="E15:I15"/>
    <mergeCell ref="E16:I16"/>
    <mergeCell ref="E17:I17"/>
    <mergeCell ref="G4:H4"/>
    <mergeCell ref="G5:H5"/>
    <mergeCell ref="G6:H6"/>
    <mergeCell ref="G7:H7"/>
    <mergeCell ref="G8:H8"/>
    <mergeCell ref="G9:H9"/>
    <mergeCell ref="G10:H10"/>
    <mergeCell ref="G11:H11"/>
    <mergeCell ref="K3:P3"/>
    <mergeCell ref="K12:R12"/>
    <mergeCell ref="K13:L13"/>
    <mergeCell ref="K14:L14"/>
    <mergeCell ref="K15:L15"/>
    <mergeCell ref="K16:L16"/>
    <mergeCell ref="K17:L17"/>
    <mergeCell ref="K18:L18"/>
    <mergeCell ref="K20:R20"/>
    <mergeCell ref="M13:N13"/>
    <mergeCell ref="M14:N14"/>
    <mergeCell ref="M15:N15"/>
    <mergeCell ref="M16:N16"/>
    <mergeCell ref="M17:N17"/>
    <mergeCell ref="M18:N18"/>
    <mergeCell ref="O13:P13"/>
    <mergeCell ref="O14:P14"/>
    <mergeCell ref="O15:P15"/>
    <mergeCell ref="O16:P16"/>
    <mergeCell ref="O17:P17"/>
    <mergeCell ref="O18:P18"/>
    <mergeCell ref="Q13:R13"/>
    <mergeCell ref="Q14:R14"/>
    <mergeCell ref="Q15:R15"/>
    <mergeCell ref="Q16:R16"/>
    <mergeCell ref="Q17:R17"/>
    <mergeCell ref="Q18:R18"/>
  </mergeCells>
  <phoneticPr fontId="24" type="noConversion"/>
  <dataValidations count="2">
    <dataValidation type="list" allowBlank="1" showInputMessage="1" showErrorMessage="1" sqref="Q14:R18" xr:uid="{FF125A94-AF7C-4F81-A562-0C4E816C8721}">
      <formula1>"Action,Information"</formula1>
    </dataValidation>
    <dataValidation type="list" allowBlank="1" showInputMessage="1" showErrorMessage="1" sqref="E12" xr:uid="{A154C7BA-85EC-40E6-9CB5-72E2FAFE5DB7}">
      <formula1>"OBSIT,DSIEP,OPEN DATA,Copyright Data"</formula1>
    </dataValidation>
  </dataValidations>
  <printOptions horizontalCentered="1" verticalCentered="1"/>
  <pageMargins left="0.39370078740157483" right="0.39370078740157483" top="0.47244094488188981" bottom="0.39370078740157483" header="0.11811023622047245" footer="0.11811023622047245"/>
  <pageSetup paperSize="9" scale="45" orientation="portrait" r:id="rId1"/>
  <headerFooter alignWithMargins="0">
    <oddHeader><![CDATA[&L&G&C&F
&A&RBIM/0154
Version : V11.0]]></oddHeader>
    <oddFooter><![CDATA[&RPage &P/&N&LCapgemini AS France - Services
© 2012 Copyright Capgemini&C&"Calibri"&11&K000000Imprimé le / Printed on &D_x000D_&1#&"Helvetica 75 Bold"&8&KED7D31Orange Restricted]]></oddFooter>
  </headerFooter>
  <drawing r:id="rId5"/>
  <legacy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8">
    <tabColor theme="0" tint="-0.499984740745262"/>
  </sheetPr>
  <dimension ref="A1:AG101"/>
  <sheetViews>
    <sheetView topLeftCell="R1" zoomScale="85" zoomScaleNormal="85" workbookViewId="0">
      <selection activeCell="AG15" sqref="AG15"/>
    </sheetView>
  </sheetViews>
  <sheetFormatPr baseColWidth="10" defaultColWidth="11.42578125" defaultRowHeight="12.75" x14ac:dyDescent="0.2"/>
  <cols>
    <col min="1" max="1" customWidth="true" width="22.42578125"/>
    <col min="2" max="2" customWidth="true" width="1.85546875"/>
    <col min="3" max="3" customWidth="true" width="21.85546875"/>
    <col min="4" max="6" customWidth="true" width="3.42578125"/>
    <col min="7" max="7" bestFit="true" customWidth="true" width="45.28515625"/>
    <col min="8" max="8" bestFit="true" customWidth="true" width="21.5703125"/>
    <col min="9" max="9" customWidth="true" width="3.42578125"/>
    <col min="10" max="10" customWidth="true" width="19.28515625"/>
    <col min="11" max="11" customWidth="true" width="3.42578125"/>
    <col min="12" max="12" bestFit="true" customWidth="true" width="55.85546875"/>
    <col min="13" max="13" customWidth="true" width="5.42578125"/>
    <col min="14" max="14" bestFit="true" customWidth="true" width="28.140625"/>
    <col min="15" max="15" bestFit="true" customWidth="true" width="19.28515625"/>
    <col min="16" max="16" customWidth="true" width="2.7109375"/>
    <col min="17" max="17" bestFit="true" customWidth="true" width="18.140625"/>
    <col min="18" max="18" bestFit="true" customWidth="true" width="24.5703125"/>
    <col min="19" max="19" customWidth="true" width="2.140625"/>
    <col min="20" max="20" style="114" width="11.42578125"/>
    <col min="31" max="31" bestFit="true" customWidth="true" width="19.140625"/>
    <col min="33" max="33" customWidth="true" width="17.5703125"/>
  </cols>
  <sheetData>
    <row r="1" spans="1:33" ht="32.25" customHeight="1" thickBot="1" x14ac:dyDescent="0.25">
      <c r="A1" s="12" t="s">
        <v>72</v>
      </c>
      <c r="C1" s="65" t="s">
        <v>185</v>
      </c>
      <c r="H1" s="65" t="s">
        <v>186</v>
      </c>
      <c r="J1" s="61" t="s">
        <v>184</v>
      </c>
      <c r="L1" s="61" t="s">
        <v>204</v>
      </c>
      <c r="N1" s="140" t="s">
        <v>398</v>
      </c>
      <c r="O1" s="140" t="s">
        <v>399</v>
      </c>
      <c r="Q1" s="130" t="s">
        <v>500</v>
      </c>
      <c r="R1" s="130" t="s">
        <v>501</v>
      </c>
      <c r="T1" s="140" t="s">
        <v>545</v>
      </c>
      <c r="V1" s="266" t="s">
        <v>729</v>
      </c>
      <c r="X1" s="266" t="s">
        <v>730</v>
      </c>
      <c r="Z1" s="266" t="s">
        <v>731</v>
      </c>
      <c r="AB1" s="266" t="s">
        <v>1131</v>
      </c>
      <c r="AC1" s="266" t="s">
        <v>1132</v>
      </c>
      <c r="AE1" s="266" t="s">
        <v>1144</v>
      </c>
      <c r="AG1" s="266" t="s">
        <v>1350</v>
      </c>
    </row>
    <row r="2" spans="1:33" ht="16.5" customHeight="1" x14ac:dyDescent="0.2">
      <c r="A2" s="3" t="s">
        <v>498</v>
      </c>
      <c r="C2" s="3" t="s">
        <v>197</v>
      </c>
      <c r="G2" s="3" t="s">
        <v>196</v>
      </c>
      <c r="H2" s="3" t="s">
        <v>196</v>
      </c>
      <c r="J2" s="3" t="s">
        <v>196</v>
      </c>
      <c r="L2" s="4" t="s">
        <v>202</v>
      </c>
      <c r="N2" s="146" t="s">
        <v>196</v>
      </c>
      <c r="O2" s="147" t="s">
        <v>400</v>
      </c>
      <c r="Q2" s="131" t="s">
        <v>508</v>
      </c>
      <c r="R2" s="131" t="s">
        <v>502</v>
      </c>
      <c r="T2" s="141" t="s">
        <v>548</v>
      </c>
      <c r="V2" s="141" t="s">
        <v>732</v>
      </c>
      <c r="X2" s="141" t="s">
        <v>733</v>
      </c>
      <c r="Z2" s="141" t="s">
        <v>734</v>
      </c>
      <c r="AB2" s="141" t="s">
        <v>1133</v>
      </c>
      <c r="AC2" s="141" t="s">
        <v>1134</v>
      </c>
      <c r="AE2" s="141" t="s">
        <v>1141</v>
      </c>
      <c r="AG2" s="141" t="s">
        <v>1366</v>
      </c>
    </row>
    <row r="3" spans="1:33" ht="16.5" customHeight="1" x14ac:dyDescent="0.2">
      <c r="A3" s="3" t="s">
        <v>497</v>
      </c>
      <c r="C3" s="63" t="s">
        <v>77</v>
      </c>
      <c r="G3" s="63" t="s">
        <v>77</v>
      </c>
      <c r="H3" s="63" t="s">
        <v>78</v>
      </c>
      <c r="J3" s="64" t="s">
        <v>189</v>
      </c>
      <c r="L3" s="4" t="s">
        <v>203</v>
      </c>
      <c r="N3" s="148" t="s">
        <v>401</v>
      </c>
      <c r="O3" s="141" t="s">
        <v>402</v>
      </c>
      <c r="Q3" s="131" t="s">
        <v>507</v>
      </c>
      <c r="R3" s="131" t="s">
        <v>503</v>
      </c>
      <c r="T3" s="141" t="s">
        <v>549</v>
      </c>
      <c r="V3" s="141" t="s">
        <v>735</v>
      </c>
      <c r="X3" s="141" t="s">
        <v>736</v>
      </c>
      <c r="Z3" s="141" t="s">
        <v>737</v>
      </c>
      <c r="AB3" s="141" t="s">
        <v>1135</v>
      </c>
      <c r="AC3" s="141" t="s">
        <v>1136</v>
      </c>
      <c r="AE3" s="141" t="s">
        <v>1142</v>
      </c>
      <c r="AG3" s="141" t="s">
        <v>1334</v>
      </c>
    </row>
    <row r="4" spans="1:33" ht="16.5" customHeight="1" x14ac:dyDescent="0.2">
      <c r="A4" s="3" t="s">
        <v>47</v>
      </c>
      <c r="C4" s="63" t="s">
        <v>83</v>
      </c>
      <c r="G4" s="63" t="s">
        <v>77</v>
      </c>
      <c r="H4" s="63" t="s">
        <v>79</v>
      </c>
      <c r="J4" s="64" t="s">
        <v>190</v>
      </c>
      <c r="L4" s="4" t="s">
        <v>205</v>
      </c>
      <c r="N4" s="148" t="s">
        <v>43</v>
      </c>
      <c r="O4" s="141" t="s">
        <v>402</v>
      </c>
      <c r="Q4" s="132" t="s">
        <v>556</v>
      </c>
      <c r="R4" s="131" t="s">
        <v>504</v>
      </c>
      <c r="T4" s="142" t="s">
        <v>550</v>
      </c>
      <c r="V4" s="142" t="s">
        <v>738</v>
      </c>
      <c r="X4" s="141" t="s">
        <v>726</v>
      </c>
      <c r="Z4" s="141" t="s">
        <v>739</v>
      </c>
      <c r="AB4" s="141" t="s">
        <v>1137</v>
      </c>
      <c r="AC4" s="141" t="s">
        <v>1138</v>
      </c>
      <c r="AE4" s="141" t="s">
        <v>1143</v>
      </c>
      <c r="AG4" s="141" t="s">
        <v>536</v>
      </c>
    </row>
    <row r="5" spans="1:33" ht="15.75" x14ac:dyDescent="0.2">
      <c r="C5" s="63" t="s">
        <v>85</v>
      </c>
      <c r="G5" s="63" t="s">
        <v>77</v>
      </c>
      <c r="H5" s="63" t="s">
        <v>80</v>
      </c>
      <c r="J5" s="64" t="s">
        <v>191</v>
      </c>
      <c r="L5" s="4" t="s">
        <v>206</v>
      </c>
      <c r="N5" s="148" t="s">
        <v>403</v>
      </c>
      <c r="O5" s="141" t="s">
        <v>402</v>
      </c>
      <c r="Q5" s="132" t="s">
        <v>555</v>
      </c>
      <c r="R5" s="131" t="s">
        <v>505</v>
      </c>
      <c r="T5" s="142" t="s">
        <v>502</v>
      </c>
      <c r="V5" s="142" t="s">
        <v>740</v>
      </c>
      <c r="X5" s="141" t="s">
        <v>741</v>
      </c>
      <c r="Z5" s="141" t="s">
        <v>742</v>
      </c>
      <c r="AG5" s="141" t="s">
        <v>1326</v>
      </c>
    </row>
    <row r="6" spans="1:33" ht="15.75" x14ac:dyDescent="0.2">
      <c r="C6" s="63" t="s">
        <v>175</v>
      </c>
      <c r="G6" s="63" t="s">
        <v>77</v>
      </c>
      <c r="H6" s="63" t="s">
        <v>81</v>
      </c>
      <c r="J6" s="64" t="s">
        <v>192</v>
      </c>
      <c r="L6" s="63"/>
      <c r="N6" s="148" t="s">
        <v>404</v>
      </c>
      <c r="O6" s="141" t="s">
        <v>402</v>
      </c>
      <c r="Q6" s="132" t="s">
        <v>557</v>
      </c>
      <c r="R6" s="131" t="s">
        <v>506</v>
      </c>
      <c r="T6" s="142" t="s">
        <v>551</v>
      </c>
      <c r="V6" s="142" t="s">
        <v>743</v>
      </c>
      <c r="X6" s="141" t="s">
        <v>744</v>
      </c>
      <c r="Z6" s="141" t="s">
        <v>745</v>
      </c>
      <c r="AG6" s="141" t="s">
        <v>57</v>
      </c>
    </row>
    <row r="7" spans="1:33" ht="15.75" x14ac:dyDescent="0.2">
      <c r="C7" s="63" t="s">
        <v>104</v>
      </c>
      <c r="G7" s="63" t="s">
        <v>77</v>
      </c>
      <c r="H7" s="63" t="s">
        <v>82</v>
      </c>
      <c r="J7" s="64" t="s">
        <v>193</v>
      </c>
      <c r="L7" s="63"/>
      <c r="N7" s="142" t="s">
        <v>405</v>
      </c>
      <c r="O7" s="141" t="s">
        <v>402</v>
      </c>
      <c r="T7" s="142" t="s">
        <v>582</v>
      </c>
      <c r="V7" s="142" t="s">
        <v>746</v>
      </c>
      <c r="X7" s="141" t="s">
        <v>747</v>
      </c>
      <c r="AG7" s="141" t="s">
        <v>1354</v>
      </c>
    </row>
    <row r="8" spans="1:33" x14ac:dyDescent="0.2">
      <c r="C8" s="63" t="s">
        <v>107</v>
      </c>
      <c r="G8" s="63" t="s">
        <v>83</v>
      </c>
      <c r="H8" s="63" t="s">
        <v>84</v>
      </c>
      <c r="L8" s="63"/>
      <c r="N8" s="148" t="s">
        <v>406</v>
      </c>
      <c r="O8" s="141" t="s">
        <v>402</v>
      </c>
      <c r="X8" s="141" t="s">
        <v>748</v>
      </c>
      <c r="AG8" s="141" t="s">
        <v>54</v>
      </c>
    </row>
    <row r="9" spans="1:33" x14ac:dyDescent="0.2">
      <c r="C9" s="63" t="s">
        <v>176</v>
      </c>
      <c r="G9" s="63" t="s">
        <v>85</v>
      </c>
      <c r="H9" s="63" t="s">
        <v>86</v>
      </c>
      <c r="L9" s="63"/>
      <c r="N9" s="148" t="s">
        <v>407</v>
      </c>
      <c r="O9" s="141" t="s">
        <v>402</v>
      </c>
      <c r="X9" s="141" t="s">
        <v>749</v>
      </c>
      <c r="AG9" s="141" t="s">
        <v>55</v>
      </c>
    </row>
    <row r="10" spans="1:33" ht="15.75" x14ac:dyDescent="0.2">
      <c r="C10" s="63" t="s">
        <v>181</v>
      </c>
      <c r="G10" s="63" t="s">
        <v>85</v>
      </c>
      <c r="H10" s="63" t="s">
        <v>87</v>
      </c>
      <c r="L10" s="63"/>
      <c r="N10" s="148" t="s">
        <v>408</v>
      </c>
      <c r="O10" s="141" t="s">
        <v>402</v>
      </c>
      <c r="V10" s="244"/>
      <c r="X10" s="141" t="s">
        <v>750</v>
      </c>
      <c r="AG10" s="141" t="s">
        <v>1355</v>
      </c>
    </row>
    <row r="11" spans="1:33" ht="15.75" x14ac:dyDescent="0.2">
      <c r="C11" s="63" t="s">
        <v>188</v>
      </c>
      <c r="G11" s="63" t="s">
        <v>85</v>
      </c>
      <c r="H11" s="63" t="s">
        <v>88</v>
      </c>
      <c r="L11" s="63"/>
      <c r="N11" s="148" t="s">
        <v>409</v>
      </c>
      <c r="O11" s="141" t="s">
        <v>402</v>
      </c>
      <c r="V11" s="244"/>
      <c r="X11" s="141" t="s">
        <v>751</v>
      </c>
      <c r="AG11" s="141" t="s">
        <v>1075</v>
      </c>
    </row>
    <row r="12" spans="1:33" ht="15.75" x14ac:dyDescent="0.2">
      <c r="C12" s="63" t="s">
        <v>182</v>
      </c>
      <c r="G12" s="63" t="s">
        <v>89</v>
      </c>
      <c r="H12" s="63" t="s">
        <v>90</v>
      </c>
      <c r="L12" s="63"/>
      <c r="N12" s="148" t="s">
        <v>410</v>
      </c>
      <c r="O12" s="141" t="s">
        <v>402</v>
      </c>
      <c r="V12" s="244"/>
      <c r="X12" s="141" t="s">
        <v>752</v>
      </c>
      <c r="AG12" s="141" t="s">
        <v>200</v>
      </c>
    </row>
    <row r="13" spans="1:33" ht="15.75" x14ac:dyDescent="0.2">
      <c r="C13" s="63" t="s">
        <v>145</v>
      </c>
      <c r="G13" s="63" t="s">
        <v>89</v>
      </c>
      <c r="H13" s="63" t="s">
        <v>91</v>
      </c>
      <c r="L13" s="63"/>
      <c r="N13" s="148" t="s">
        <v>411</v>
      </c>
      <c r="O13" s="141" t="s">
        <v>402</v>
      </c>
      <c r="V13" s="244"/>
      <c r="X13" s="141" t="s">
        <v>753</v>
      </c>
      <c r="AG13" s="141" t="s">
        <v>1353</v>
      </c>
    </row>
    <row r="14" spans="1:33" ht="15.75" x14ac:dyDescent="0.2">
      <c r="C14" s="63" t="s">
        <v>177</v>
      </c>
      <c r="G14" s="63" t="s">
        <v>89</v>
      </c>
      <c r="H14" s="63" t="s">
        <v>78</v>
      </c>
      <c r="L14" s="63"/>
      <c r="N14" s="148" t="s">
        <v>412</v>
      </c>
      <c r="O14" s="141" t="s">
        <v>512</v>
      </c>
      <c r="Q14" s="143"/>
      <c r="V14" s="244"/>
      <c r="X14" s="141" t="s">
        <v>754</v>
      </c>
      <c r="AG14" s="141" t="s">
        <v>1351</v>
      </c>
    </row>
    <row r="15" spans="1:33" ht="15.75" x14ac:dyDescent="0.2">
      <c r="C15" s="63" t="s">
        <v>178</v>
      </c>
      <c r="G15" s="63" t="s">
        <v>89</v>
      </c>
      <c r="H15" s="63" t="s">
        <v>92</v>
      </c>
      <c r="L15" s="63"/>
      <c r="N15" s="148" t="s">
        <v>413</v>
      </c>
      <c r="O15" s="141" t="s">
        <v>402</v>
      </c>
      <c r="Q15" s="143"/>
      <c r="V15" s="244"/>
      <c r="X15" s="141" t="s">
        <v>755</v>
      </c>
      <c r="AG15" s="301" t="s">
        <v>1352</v>
      </c>
    </row>
    <row r="16" spans="1:33" ht="15" x14ac:dyDescent="0.2">
      <c r="C16" s="63" t="s">
        <v>187</v>
      </c>
      <c r="G16" s="63" t="s">
        <v>89</v>
      </c>
      <c r="H16" s="63" t="s">
        <v>93</v>
      </c>
      <c r="L16" s="63"/>
      <c r="N16" s="148" t="s">
        <v>414</v>
      </c>
      <c r="O16" s="141" t="s">
        <v>402</v>
      </c>
      <c r="Q16" s="143"/>
      <c r="V16" s="246"/>
      <c r="X16" s="141" t="s">
        <v>756</v>
      </c>
    </row>
    <row r="17" spans="3:24" ht="15" x14ac:dyDescent="0.2">
      <c r="C17" s="63" t="s">
        <v>179</v>
      </c>
      <c r="G17" s="63" t="s">
        <v>89</v>
      </c>
      <c r="H17" s="63" t="s">
        <v>94</v>
      </c>
      <c r="L17" s="63"/>
      <c r="N17" s="148" t="s">
        <v>415</v>
      </c>
      <c r="O17" s="141" t="s">
        <v>402</v>
      </c>
      <c r="Q17" s="144"/>
      <c r="X17" s="141" t="s">
        <v>757</v>
      </c>
    </row>
    <row r="18" spans="3:24" ht="15" x14ac:dyDescent="0.2">
      <c r="C18" s="63" t="s">
        <v>180</v>
      </c>
      <c r="G18" s="63" t="s">
        <v>89</v>
      </c>
      <c r="H18" s="63" t="s">
        <v>95</v>
      </c>
      <c r="L18" s="63"/>
      <c r="N18" s="148" t="s">
        <v>416</v>
      </c>
      <c r="O18" s="141" t="s">
        <v>402</v>
      </c>
      <c r="Q18" s="143"/>
      <c r="X18" s="141" t="s">
        <v>758</v>
      </c>
    </row>
    <row r="19" spans="3:24" ht="15" x14ac:dyDescent="0.2">
      <c r="C19" s="63" t="s">
        <v>183</v>
      </c>
      <c r="G19" s="63" t="s">
        <v>89</v>
      </c>
      <c r="H19" s="63" t="s">
        <v>96</v>
      </c>
      <c r="L19" s="63"/>
      <c r="N19" s="142" t="s">
        <v>573</v>
      </c>
      <c r="O19" s="141" t="s">
        <v>402</v>
      </c>
      <c r="Q19" s="143"/>
      <c r="X19" s="141" t="s">
        <v>759</v>
      </c>
    </row>
    <row r="20" spans="3:24" x14ac:dyDescent="0.2">
      <c r="C20" s="63" t="s">
        <v>103</v>
      </c>
      <c r="G20" s="63" t="s">
        <v>89</v>
      </c>
      <c r="H20" s="63" t="s">
        <v>97</v>
      </c>
      <c r="L20" s="63"/>
      <c r="N20" s="148" t="s">
        <v>13</v>
      </c>
      <c r="O20" s="141" t="s">
        <v>402</v>
      </c>
      <c r="X20" s="141" t="s">
        <v>760</v>
      </c>
    </row>
    <row r="21" spans="3:24" x14ac:dyDescent="0.2">
      <c r="C21" s="63" t="s">
        <v>52</v>
      </c>
      <c r="G21" s="63" t="s">
        <v>89</v>
      </c>
      <c r="H21" s="63" t="s">
        <v>98</v>
      </c>
      <c r="L21" s="63"/>
      <c r="N21" s="148" t="s">
        <v>417</v>
      </c>
      <c r="O21" s="141" t="s">
        <v>402</v>
      </c>
      <c r="X21" s="141" t="s">
        <v>761</v>
      </c>
    </row>
    <row r="22" spans="3:24" x14ac:dyDescent="0.2">
      <c r="G22" s="63" t="s">
        <v>89</v>
      </c>
      <c r="H22" s="63" t="s">
        <v>99</v>
      </c>
      <c r="L22" s="63"/>
      <c r="N22" s="148" t="s">
        <v>418</v>
      </c>
      <c r="O22" s="141" t="s">
        <v>402</v>
      </c>
      <c r="X22" s="141" t="s">
        <v>762</v>
      </c>
    </row>
    <row r="23" spans="3:24" x14ac:dyDescent="0.2">
      <c r="G23" s="63" t="s">
        <v>89</v>
      </c>
      <c r="H23" s="63" t="s">
        <v>100</v>
      </c>
      <c r="L23" s="63"/>
      <c r="N23" s="148" t="s">
        <v>419</v>
      </c>
      <c r="O23" s="141" t="s">
        <v>402</v>
      </c>
      <c r="X23" s="141" t="s">
        <v>763</v>
      </c>
    </row>
    <row r="24" spans="3:24" x14ac:dyDescent="0.2">
      <c r="G24" s="63" t="s">
        <v>89</v>
      </c>
      <c r="H24" s="63" t="s">
        <v>101</v>
      </c>
      <c r="L24" s="63"/>
      <c r="N24" s="148" t="s">
        <v>104</v>
      </c>
      <c r="O24" s="141" t="s">
        <v>402</v>
      </c>
      <c r="X24" s="141" t="s">
        <v>764</v>
      </c>
    </row>
    <row r="25" spans="3:24" x14ac:dyDescent="0.2">
      <c r="G25" s="63" t="s">
        <v>89</v>
      </c>
      <c r="H25" s="63" t="s">
        <v>102</v>
      </c>
      <c r="L25" s="63"/>
      <c r="N25" s="148" t="s">
        <v>420</v>
      </c>
      <c r="O25" s="141" t="s">
        <v>402</v>
      </c>
      <c r="X25" s="141" t="s">
        <v>765</v>
      </c>
    </row>
    <row r="26" spans="3:24" x14ac:dyDescent="0.2">
      <c r="G26" s="63" t="s">
        <v>89</v>
      </c>
      <c r="H26" s="63" t="s">
        <v>103</v>
      </c>
      <c r="L26" s="63"/>
      <c r="N26" s="148" t="s">
        <v>421</v>
      </c>
      <c r="O26" s="141" t="s">
        <v>402</v>
      </c>
      <c r="X26" s="141" t="s">
        <v>766</v>
      </c>
    </row>
    <row r="27" spans="3:24" x14ac:dyDescent="0.2">
      <c r="G27" s="63" t="s">
        <v>104</v>
      </c>
      <c r="H27" s="63" t="s">
        <v>105</v>
      </c>
      <c r="L27" s="63"/>
      <c r="N27" s="148" t="s">
        <v>422</v>
      </c>
      <c r="O27" s="141" t="s">
        <v>402</v>
      </c>
    </row>
    <row r="28" spans="3:24" x14ac:dyDescent="0.2">
      <c r="G28" s="63" t="s">
        <v>104</v>
      </c>
      <c r="H28" s="63" t="s">
        <v>106</v>
      </c>
      <c r="L28" s="63"/>
      <c r="N28" s="142" t="s">
        <v>578</v>
      </c>
      <c r="O28" s="141" t="s">
        <v>402</v>
      </c>
    </row>
    <row r="29" spans="3:24" x14ac:dyDescent="0.2">
      <c r="G29" s="63" t="s">
        <v>107</v>
      </c>
      <c r="H29" s="63" t="s">
        <v>108</v>
      </c>
      <c r="L29" s="63"/>
      <c r="N29" s="148" t="s">
        <v>423</v>
      </c>
      <c r="O29" s="141" t="s">
        <v>402</v>
      </c>
    </row>
    <row r="30" spans="3:24" x14ac:dyDescent="0.2">
      <c r="G30" s="63" t="s">
        <v>109</v>
      </c>
      <c r="H30" s="63" t="s">
        <v>110</v>
      </c>
      <c r="L30" s="63"/>
      <c r="N30" s="148" t="s">
        <v>424</v>
      </c>
      <c r="O30" s="141" t="s">
        <v>402</v>
      </c>
    </row>
    <row r="31" spans="3:24" x14ac:dyDescent="0.2">
      <c r="G31" s="63" t="s">
        <v>109</v>
      </c>
      <c r="H31" s="63" t="s">
        <v>111</v>
      </c>
      <c r="L31" s="63"/>
      <c r="N31" s="149" t="s">
        <v>425</v>
      </c>
      <c r="O31" s="150" t="s">
        <v>373</v>
      </c>
    </row>
    <row r="32" spans="3:24" x14ac:dyDescent="0.2">
      <c r="G32" s="63" t="s">
        <v>109</v>
      </c>
      <c r="H32" s="63" t="s">
        <v>112</v>
      </c>
      <c r="L32" s="63"/>
      <c r="N32" s="148" t="s">
        <v>426</v>
      </c>
      <c r="O32" s="141" t="s">
        <v>402</v>
      </c>
    </row>
    <row r="33" spans="7:15" x14ac:dyDescent="0.2">
      <c r="G33" s="63" t="s">
        <v>109</v>
      </c>
      <c r="H33" s="63" t="s">
        <v>113</v>
      </c>
      <c r="L33" s="63"/>
      <c r="N33" s="148" t="s">
        <v>427</v>
      </c>
      <c r="O33" s="141" t="s">
        <v>402</v>
      </c>
    </row>
    <row r="34" spans="7:15" x14ac:dyDescent="0.2">
      <c r="G34" s="63" t="s">
        <v>109</v>
      </c>
      <c r="H34" s="63" t="s">
        <v>114</v>
      </c>
      <c r="L34" s="63"/>
      <c r="N34" s="148" t="s">
        <v>428</v>
      </c>
      <c r="O34" s="141" t="s">
        <v>402</v>
      </c>
    </row>
    <row r="35" spans="7:15" x14ac:dyDescent="0.2">
      <c r="G35" s="63" t="s">
        <v>109</v>
      </c>
      <c r="H35" s="63" t="s">
        <v>115</v>
      </c>
      <c r="L35" s="63"/>
      <c r="N35" s="148" t="s">
        <v>429</v>
      </c>
      <c r="O35" s="141" t="s">
        <v>402</v>
      </c>
    </row>
    <row r="36" spans="7:15" x14ac:dyDescent="0.2">
      <c r="G36" s="63" t="s">
        <v>109</v>
      </c>
      <c r="H36" s="63" t="s">
        <v>116</v>
      </c>
      <c r="L36" s="63"/>
      <c r="N36" s="148" t="s">
        <v>430</v>
      </c>
      <c r="O36" s="141" t="s">
        <v>402</v>
      </c>
    </row>
    <row r="37" spans="7:15" x14ac:dyDescent="0.2">
      <c r="G37" s="63" t="s">
        <v>109</v>
      </c>
      <c r="H37" s="63" t="s">
        <v>117</v>
      </c>
      <c r="L37" s="63"/>
      <c r="N37" s="148" t="s">
        <v>431</v>
      </c>
      <c r="O37" s="141" t="s">
        <v>402</v>
      </c>
    </row>
    <row r="38" spans="7:15" x14ac:dyDescent="0.2">
      <c r="G38" s="63" t="s">
        <v>109</v>
      </c>
      <c r="H38" s="63" t="s">
        <v>118</v>
      </c>
      <c r="L38" s="63"/>
      <c r="N38" s="148" t="s">
        <v>432</v>
      </c>
      <c r="O38" s="141" t="s">
        <v>402</v>
      </c>
    </row>
    <row r="39" spans="7:15" x14ac:dyDescent="0.2">
      <c r="G39" s="63" t="s">
        <v>109</v>
      </c>
      <c r="H39" s="63" t="s">
        <v>119</v>
      </c>
      <c r="L39" s="63"/>
      <c r="N39" s="148" t="s">
        <v>433</v>
      </c>
      <c r="O39" s="141" t="s">
        <v>402</v>
      </c>
    </row>
    <row r="40" spans="7:15" x14ac:dyDescent="0.2">
      <c r="G40" s="63" t="s">
        <v>109</v>
      </c>
      <c r="H40" s="63" t="s">
        <v>120</v>
      </c>
      <c r="L40" s="63"/>
      <c r="N40" s="148" t="s">
        <v>434</v>
      </c>
      <c r="O40" s="141" t="s">
        <v>402</v>
      </c>
    </row>
    <row r="41" spans="7:15" x14ac:dyDescent="0.2">
      <c r="G41" s="63" t="s">
        <v>109</v>
      </c>
      <c r="H41" s="63" t="s">
        <v>121</v>
      </c>
      <c r="L41" s="63"/>
      <c r="N41" s="142" t="s">
        <v>435</v>
      </c>
      <c r="O41" s="141" t="s">
        <v>402</v>
      </c>
    </row>
    <row r="42" spans="7:15" x14ac:dyDescent="0.2">
      <c r="G42" s="63" t="s">
        <v>109</v>
      </c>
      <c r="H42" s="63" t="s">
        <v>122</v>
      </c>
      <c r="L42" s="63"/>
      <c r="N42" s="148" t="s">
        <v>436</v>
      </c>
      <c r="O42" s="141" t="s">
        <v>402</v>
      </c>
    </row>
    <row r="43" spans="7:15" x14ac:dyDescent="0.2">
      <c r="G43" s="63" t="s">
        <v>109</v>
      </c>
      <c r="H43" s="63" t="s">
        <v>123</v>
      </c>
      <c r="L43" s="63"/>
      <c r="N43" s="148" t="s">
        <v>437</v>
      </c>
      <c r="O43" s="141" t="s">
        <v>402</v>
      </c>
    </row>
    <row r="44" spans="7:15" x14ac:dyDescent="0.2">
      <c r="G44" s="63" t="s">
        <v>109</v>
      </c>
      <c r="H44" s="63" t="s">
        <v>124</v>
      </c>
      <c r="L44" s="63"/>
      <c r="N44" s="148" t="s">
        <v>438</v>
      </c>
      <c r="O44" s="141" t="s">
        <v>402</v>
      </c>
    </row>
    <row r="45" spans="7:15" x14ac:dyDescent="0.2">
      <c r="G45" s="63" t="s">
        <v>109</v>
      </c>
      <c r="H45" s="63" t="s">
        <v>103</v>
      </c>
      <c r="L45" s="63"/>
      <c r="N45" s="148" t="s">
        <v>439</v>
      </c>
      <c r="O45" s="141" t="s">
        <v>402</v>
      </c>
    </row>
    <row r="46" spans="7:15" x14ac:dyDescent="0.2">
      <c r="G46" s="63" t="s">
        <v>109</v>
      </c>
      <c r="H46" s="63" t="s">
        <v>125</v>
      </c>
      <c r="L46" s="63"/>
      <c r="N46" s="149" t="s">
        <v>440</v>
      </c>
      <c r="O46" s="150" t="s">
        <v>441</v>
      </c>
    </row>
    <row r="47" spans="7:15" x14ac:dyDescent="0.2">
      <c r="G47" s="63" t="s">
        <v>126</v>
      </c>
      <c r="H47" s="63" t="s">
        <v>127</v>
      </c>
      <c r="L47" s="63"/>
      <c r="N47" s="148" t="s">
        <v>442</v>
      </c>
      <c r="O47" s="141" t="s">
        <v>402</v>
      </c>
    </row>
    <row r="48" spans="7:15" x14ac:dyDescent="0.2">
      <c r="G48" s="63" t="s">
        <v>128</v>
      </c>
      <c r="H48" s="63" t="s">
        <v>115</v>
      </c>
      <c r="L48" s="63"/>
      <c r="N48" s="148" t="s">
        <v>443</v>
      </c>
      <c r="O48" s="141" t="s">
        <v>402</v>
      </c>
    </row>
    <row r="49" spans="7:15" x14ac:dyDescent="0.2">
      <c r="G49" s="63" t="s">
        <v>128</v>
      </c>
      <c r="H49" s="63" t="s">
        <v>129</v>
      </c>
      <c r="L49" s="63"/>
      <c r="N49" s="148" t="s">
        <v>444</v>
      </c>
      <c r="O49" s="141" t="s">
        <v>402</v>
      </c>
    </row>
    <row r="50" spans="7:15" x14ac:dyDescent="0.2">
      <c r="G50" s="63" t="s">
        <v>128</v>
      </c>
      <c r="H50" s="63" t="s">
        <v>121</v>
      </c>
      <c r="L50" s="63"/>
      <c r="N50" s="148" t="s">
        <v>445</v>
      </c>
      <c r="O50" s="141" t="s">
        <v>402</v>
      </c>
    </row>
    <row r="51" spans="7:15" x14ac:dyDescent="0.2">
      <c r="G51" s="63" t="s">
        <v>128</v>
      </c>
      <c r="H51" s="63" t="s">
        <v>130</v>
      </c>
      <c r="L51" s="63"/>
      <c r="N51" s="148" t="s">
        <v>446</v>
      </c>
      <c r="O51" s="141" t="s">
        <v>402</v>
      </c>
    </row>
    <row r="52" spans="7:15" x14ac:dyDescent="0.2">
      <c r="G52" s="63" t="s">
        <v>128</v>
      </c>
      <c r="H52" s="63" t="s">
        <v>131</v>
      </c>
      <c r="L52" s="63"/>
      <c r="N52" s="148" t="s">
        <v>447</v>
      </c>
      <c r="O52" s="141" t="s">
        <v>402</v>
      </c>
    </row>
    <row r="53" spans="7:15" x14ac:dyDescent="0.2">
      <c r="G53" s="63" t="s">
        <v>128</v>
      </c>
      <c r="H53" s="63" t="s">
        <v>132</v>
      </c>
      <c r="L53" s="63"/>
      <c r="N53" s="148" t="s">
        <v>448</v>
      </c>
      <c r="O53" s="141" t="s">
        <v>402</v>
      </c>
    </row>
    <row r="54" spans="7:15" x14ac:dyDescent="0.2">
      <c r="G54" s="63" t="s">
        <v>128</v>
      </c>
      <c r="H54" s="63" t="s">
        <v>133</v>
      </c>
      <c r="L54" s="63"/>
      <c r="N54" s="148" t="s">
        <v>449</v>
      </c>
      <c r="O54" s="141" t="s">
        <v>402</v>
      </c>
    </row>
    <row r="55" spans="7:15" x14ac:dyDescent="0.2">
      <c r="G55" s="63" t="s">
        <v>128</v>
      </c>
      <c r="H55" s="63" t="s">
        <v>134</v>
      </c>
      <c r="L55" s="63"/>
      <c r="N55" s="148" t="s">
        <v>450</v>
      </c>
      <c r="O55" s="141" t="s">
        <v>402</v>
      </c>
    </row>
    <row r="56" spans="7:15" x14ac:dyDescent="0.2">
      <c r="G56" s="63" t="s">
        <v>128</v>
      </c>
      <c r="H56" s="63" t="s">
        <v>135</v>
      </c>
      <c r="L56" s="63"/>
      <c r="N56" s="148" t="s">
        <v>451</v>
      </c>
      <c r="O56" s="141" t="s">
        <v>402</v>
      </c>
    </row>
    <row r="57" spans="7:15" x14ac:dyDescent="0.2">
      <c r="G57" s="63" t="s">
        <v>128</v>
      </c>
      <c r="H57" s="63" t="s">
        <v>103</v>
      </c>
      <c r="L57" s="63"/>
      <c r="N57" s="148" t="s">
        <v>452</v>
      </c>
      <c r="O57" s="141" t="s">
        <v>402</v>
      </c>
    </row>
    <row r="58" spans="7:15" x14ac:dyDescent="0.2">
      <c r="G58" s="63" t="s">
        <v>99</v>
      </c>
      <c r="H58" s="63" t="s">
        <v>136</v>
      </c>
      <c r="L58" s="63"/>
      <c r="N58" s="148" t="s">
        <v>453</v>
      </c>
      <c r="O58" s="141" t="s">
        <v>402</v>
      </c>
    </row>
    <row r="59" spans="7:15" x14ac:dyDescent="0.2">
      <c r="G59" s="63" t="s">
        <v>99</v>
      </c>
      <c r="H59" s="63" t="s">
        <v>137</v>
      </c>
      <c r="L59" s="63"/>
      <c r="N59" s="148" t="s">
        <v>454</v>
      </c>
      <c r="O59" s="141" t="s">
        <v>402</v>
      </c>
    </row>
    <row r="60" spans="7:15" x14ac:dyDescent="0.2">
      <c r="G60" s="63" t="s">
        <v>99</v>
      </c>
      <c r="H60" s="63" t="s">
        <v>138</v>
      </c>
      <c r="L60" s="63"/>
      <c r="N60" s="148" t="s">
        <v>455</v>
      </c>
      <c r="O60" s="141" t="s">
        <v>402</v>
      </c>
    </row>
    <row r="61" spans="7:15" x14ac:dyDescent="0.2">
      <c r="G61" s="63" t="s">
        <v>99</v>
      </c>
      <c r="H61" s="63" t="s">
        <v>139</v>
      </c>
      <c r="L61" s="63"/>
      <c r="N61" s="148" t="s">
        <v>456</v>
      </c>
      <c r="O61" s="141" t="s">
        <v>402</v>
      </c>
    </row>
    <row r="62" spans="7:15" x14ac:dyDescent="0.2">
      <c r="G62" s="63" t="s">
        <v>99</v>
      </c>
      <c r="H62" s="63" t="s">
        <v>140</v>
      </c>
      <c r="L62" s="63"/>
      <c r="N62" s="148" t="s">
        <v>457</v>
      </c>
      <c r="O62" s="141" t="s">
        <v>402</v>
      </c>
    </row>
    <row r="63" spans="7:15" x14ac:dyDescent="0.2">
      <c r="G63" s="63" t="s">
        <v>99</v>
      </c>
      <c r="H63" s="63" t="s">
        <v>141</v>
      </c>
      <c r="L63" s="63"/>
      <c r="N63" s="148" t="s">
        <v>458</v>
      </c>
      <c r="O63" s="141" t="s">
        <v>402</v>
      </c>
    </row>
    <row r="64" spans="7:15" x14ac:dyDescent="0.2">
      <c r="G64" s="63" t="s">
        <v>99</v>
      </c>
      <c r="H64" s="63" t="s">
        <v>142</v>
      </c>
      <c r="L64" s="63"/>
      <c r="N64" s="148" t="s">
        <v>459</v>
      </c>
      <c r="O64" s="141" t="s">
        <v>402</v>
      </c>
    </row>
    <row r="65" spans="7:15" x14ac:dyDescent="0.2">
      <c r="G65" s="63" t="s">
        <v>99</v>
      </c>
      <c r="H65" s="63" t="s">
        <v>143</v>
      </c>
      <c r="L65" s="63"/>
      <c r="N65" s="148" t="s">
        <v>460</v>
      </c>
      <c r="O65" s="141" t="s">
        <v>402</v>
      </c>
    </row>
    <row r="66" spans="7:15" x14ac:dyDescent="0.2">
      <c r="G66" s="63" t="s">
        <v>99</v>
      </c>
      <c r="H66" s="63" t="s">
        <v>144</v>
      </c>
      <c r="L66" s="63"/>
      <c r="N66" s="148" t="s">
        <v>461</v>
      </c>
      <c r="O66" s="141" t="s">
        <v>402</v>
      </c>
    </row>
    <row r="67" spans="7:15" x14ac:dyDescent="0.2">
      <c r="G67" s="63" t="s">
        <v>145</v>
      </c>
      <c r="H67" s="63" t="s">
        <v>146</v>
      </c>
      <c r="L67" s="63"/>
      <c r="N67" s="148" t="s">
        <v>462</v>
      </c>
      <c r="O67" s="141" t="s">
        <v>402</v>
      </c>
    </row>
    <row r="68" spans="7:15" x14ac:dyDescent="0.2">
      <c r="G68" s="63" t="s">
        <v>145</v>
      </c>
      <c r="H68" s="63" t="s">
        <v>147</v>
      </c>
      <c r="L68" s="63"/>
      <c r="N68" s="148" t="s">
        <v>463</v>
      </c>
      <c r="O68" s="141" t="s">
        <v>402</v>
      </c>
    </row>
    <row r="69" spans="7:15" x14ac:dyDescent="0.2">
      <c r="G69" s="63" t="s">
        <v>145</v>
      </c>
      <c r="H69" s="63" t="s">
        <v>148</v>
      </c>
      <c r="L69" s="63"/>
      <c r="N69" s="148" t="s">
        <v>464</v>
      </c>
      <c r="O69" s="141" t="s">
        <v>402</v>
      </c>
    </row>
    <row r="70" spans="7:15" x14ac:dyDescent="0.2">
      <c r="G70" s="63" t="s">
        <v>145</v>
      </c>
      <c r="H70" s="63" t="s">
        <v>149</v>
      </c>
      <c r="L70" s="63"/>
      <c r="N70" s="148" t="s">
        <v>465</v>
      </c>
      <c r="O70" s="141" t="s">
        <v>402</v>
      </c>
    </row>
    <row r="71" spans="7:15" x14ac:dyDescent="0.2">
      <c r="G71" s="63" t="s">
        <v>145</v>
      </c>
      <c r="H71" s="63" t="s">
        <v>150</v>
      </c>
      <c r="L71" s="63"/>
      <c r="N71" s="148" t="s">
        <v>466</v>
      </c>
      <c r="O71" s="141" t="s">
        <v>402</v>
      </c>
    </row>
    <row r="72" spans="7:15" x14ac:dyDescent="0.2">
      <c r="G72" s="63" t="s">
        <v>151</v>
      </c>
      <c r="H72" s="63" t="s">
        <v>152</v>
      </c>
      <c r="L72" s="63"/>
      <c r="N72" s="148" t="s">
        <v>467</v>
      </c>
      <c r="O72" s="141" t="s">
        <v>402</v>
      </c>
    </row>
    <row r="73" spans="7:15" x14ac:dyDescent="0.2">
      <c r="G73" s="63" t="s">
        <v>153</v>
      </c>
      <c r="H73" s="63" t="s">
        <v>150</v>
      </c>
      <c r="L73" s="63"/>
      <c r="N73" s="148" t="s">
        <v>468</v>
      </c>
      <c r="O73" s="141" t="s">
        <v>402</v>
      </c>
    </row>
    <row r="74" spans="7:15" x14ac:dyDescent="0.2">
      <c r="G74" s="63" t="s">
        <v>154</v>
      </c>
      <c r="H74" s="63" t="s">
        <v>155</v>
      </c>
      <c r="L74" s="63"/>
      <c r="N74" s="148" t="s">
        <v>469</v>
      </c>
      <c r="O74" s="141" t="s">
        <v>402</v>
      </c>
    </row>
    <row r="75" spans="7:15" x14ac:dyDescent="0.2">
      <c r="G75" s="63" t="s">
        <v>154</v>
      </c>
      <c r="H75" s="63" t="s">
        <v>156</v>
      </c>
      <c r="L75" s="63"/>
      <c r="N75" s="148" t="s">
        <v>22</v>
      </c>
      <c r="O75" s="141" t="s">
        <v>402</v>
      </c>
    </row>
    <row r="76" spans="7:15" x14ac:dyDescent="0.2">
      <c r="G76" s="63" t="s">
        <v>154</v>
      </c>
      <c r="H76" s="63" t="s">
        <v>124</v>
      </c>
      <c r="L76" s="63"/>
      <c r="N76" s="148" t="s">
        <v>470</v>
      </c>
      <c r="O76" s="141" t="s">
        <v>402</v>
      </c>
    </row>
    <row r="77" spans="7:15" x14ac:dyDescent="0.2">
      <c r="G77" s="63" t="s">
        <v>154</v>
      </c>
      <c r="H77" s="63" t="s">
        <v>157</v>
      </c>
      <c r="L77" s="63"/>
      <c r="N77" s="148" t="s">
        <v>471</v>
      </c>
      <c r="O77" s="141" t="s">
        <v>402</v>
      </c>
    </row>
    <row r="78" spans="7:15" x14ac:dyDescent="0.2">
      <c r="G78" s="63" t="s">
        <v>154</v>
      </c>
      <c r="H78" s="63" t="s">
        <v>158</v>
      </c>
      <c r="L78" s="63"/>
      <c r="N78" s="148" t="s">
        <v>472</v>
      </c>
      <c r="O78" s="141" t="s">
        <v>402</v>
      </c>
    </row>
    <row r="79" spans="7:15" x14ac:dyDescent="0.2">
      <c r="G79" s="63" t="s">
        <v>154</v>
      </c>
      <c r="H79" s="63" t="s">
        <v>142</v>
      </c>
      <c r="L79" s="63"/>
      <c r="N79" s="148" t="s">
        <v>473</v>
      </c>
      <c r="O79" s="141" t="s">
        <v>402</v>
      </c>
    </row>
    <row r="80" spans="7:15" x14ac:dyDescent="0.2">
      <c r="G80" s="63" t="s">
        <v>154</v>
      </c>
      <c r="H80" s="63" t="s">
        <v>159</v>
      </c>
      <c r="L80" s="63"/>
      <c r="N80" s="148" t="s">
        <v>474</v>
      </c>
      <c r="O80" s="141" t="s">
        <v>402</v>
      </c>
    </row>
    <row r="81" spans="7:15" x14ac:dyDescent="0.2">
      <c r="G81" s="63" t="s">
        <v>154</v>
      </c>
      <c r="H81" s="63" t="s">
        <v>160</v>
      </c>
      <c r="L81" s="63"/>
      <c r="N81" s="148" t="s">
        <v>475</v>
      </c>
      <c r="O81" s="141" t="s">
        <v>402</v>
      </c>
    </row>
    <row r="82" spans="7:15" x14ac:dyDescent="0.2">
      <c r="G82" s="63" t="s">
        <v>154</v>
      </c>
      <c r="H82" s="63" t="s">
        <v>103</v>
      </c>
      <c r="L82" s="63"/>
      <c r="N82" s="148" t="s">
        <v>476</v>
      </c>
      <c r="O82" s="141" t="s">
        <v>402</v>
      </c>
    </row>
    <row r="83" spans="7:15" x14ac:dyDescent="0.2">
      <c r="G83" s="63" t="s">
        <v>161</v>
      </c>
      <c r="H83" s="63" t="s">
        <v>162</v>
      </c>
      <c r="L83" s="63"/>
      <c r="N83" s="148" t="s">
        <v>477</v>
      </c>
      <c r="O83" s="141" t="s">
        <v>402</v>
      </c>
    </row>
    <row r="84" spans="7:15" x14ac:dyDescent="0.2">
      <c r="G84" s="63" t="s">
        <v>161</v>
      </c>
      <c r="H84" s="63" t="s">
        <v>163</v>
      </c>
      <c r="L84" s="63"/>
      <c r="N84" s="148" t="s">
        <v>478</v>
      </c>
      <c r="O84" s="141" t="s">
        <v>402</v>
      </c>
    </row>
    <row r="85" spans="7:15" x14ac:dyDescent="0.2">
      <c r="G85" s="63" t="s">
        <v>161</v>
      </c>
      <c r="H85" s="63" t="s">
        <v>164</v>
      </c>
      <c r="L85" s="63"/>
      <c r="N85" s="149" t="s">
        <v>479</v>
      </c>
      <c r="O85" s="150" t="s">
        <v>496</v>
      </c>
    </row>
    <row r="86" spans="7:15" x14ac:dyDescent="0.2">
      <c r="G86" s="63" t="s">
        <v>161</v>
      </c>
      <c r="H86" s="63" t="s">
        <v>165</v>
      </c>
      <c r="L86" s="63"/>
      <c r="N86" s="148" t="s">
        <v>480</v>
      </c>
      <c r="O86" s="141" t="s">
        <v>402</v>
      </c>
    </row>
    <row r="87" spans="7:15" x14ac:dyDescent="0.2">
      <c r="G87" s="63" t="s">
        <v>166</v>
      </c>
      <c r="H87" s="63" t="s">
        <v>167</v>
      </c>
      <c r="L87" s="63"/>
      <c r="N87" s="148" t="s">
        <v>481</v>
      </c>
      <c r="O87" s="141" t="s">
        <v>402</v>
      </c>
    </row>
    <row r="88" spans="7:15" x14ac:dyDescent="0.2">
      <c r="G88" s="63" t="s">
        <v>166</v>
      </c>
      <c r="H88" s="63" t="s">
        <v>168</v>
      </c>
      <c r="L88" s="63"/>
      <c r="N88" s="148" t="s">
        <v>482</v>
      </c>
      <c r="O88" s="141" t="s">
        <v>402</v>
      </c>
    </row>
    <row r="89" spans="7:15" x14ac:dyDescent="0.2">
      <c r="G89" s="63" t="s">
        <v>166</v>
      </c>
      <c r="H89" s="63" t="s">
        <v>164</v>
      </c>
      <c r="L89" s="63"/>
      <c r="N89" s="148" t="s">
        <v>483</v>
      </c>
      <c r="O89" s="141" t="s">
        <v>402</v>
      </c>
    </row>
    <row r="90" spans="7:15" x14ac:dyDescent="0.2">
      <c r="G90" s="63" t="s">
        <v>166</v>
      </c>
      <c r="H90" s="63" t="s">
        <v>152</v>
      </c>
      <c r="L90" s="63"/>
      <c r="N90" s="148" t="s">
        <v>484</v>
      </c>
      <c r="O90" s="141" t="s">
        <v>402</v>
      </c>
    </row>
    <row r="91" spans="7:15" x14ac:dyDescent="0.2">
      <c r="G91" s="63" t="s">
        <v>166</v>
      </c>
      <c r="H91" s="63" t="s">
        <v>169</v>
      </c>
      <c r="L91" s="63"/>
      <c r="N91" s="148" t="s">
        <v>485</v>
      </c>
      <c r="O91" s="141" t="s">
        <v>402</v>
      </c>
    </row>
    <row r="92" spans="7:15" x14ac:dyDescent="0.2">
      <c r="G92" s="63" t="s">
        <v>170</v>
      </c>
      <c r="H92" s="63" t="s">
        <v>171</v>
      </c>
      <c r="L92" s="63"/>
      <c r="N92" s="148" t="s">
        <v>486</v>
      </c>
      <c r="O92" s="141" t="s">
        <v>402</v>
      </c>
    </row>
    <row r="93" spans="7:15" x14ac:dyDescent="0.2">
      <c r="G93" s="63" t="s">
        <v>170</v>
      </c>
      <c r="H93" s="63" t="s">
        <v>172</v>
      </c>
      <c r="L93" s="63"/>
      <c r="N93" s="148" t="s">
        <v>487</v>
      </c>
      <c r="O93" s="141" t="s">
        <v>402</v>
      </c>
    </row>
    <row r="94" spans="7:15" x14ac:dyDescent="0.2">
      <c r="G94" s="63" t="s">
        <v>170</v>
      </c>
      <c r="H94" s="63" t="s">
        <v>173</v>
      </c>
      <c r="L94" s="63"/>
      <c r="N94" s="148" t="s">
        <v>488</v>
      </c>
      <c r="O94" s="141" t="s">
        <v>402</v>
      </c>
    </row>
    <row r="95" spans="7:15" x14ac:dyDescent="0.2">
      <c r="G95" s="63" t="s">
        <v>103</v>
      </c>
      <c r="H95" s="63" t="s">
        <v>103</v>
      </c>
      <c r="L95" s="63"/>
      <c r="N95" s="148" t="s">
        <v>489</v>
      </c>
      <c r="O95" s="141" t="s">
        <v>402</v>
      </c>
    </row>
    <row r="96" spans="7:15" x14ac:dyDescent="0.2">
      <c r="G96" s="63" t="s">
        <v>52</v>
      </c>
      <c r="H96" s="63" t="s">
        <v>174</v>
      </c>
      <c r="N96" s="148" t="s">
        <v>490</v>
      </c>
      <c r="O96" s="141" t="s">
        <v>402</v>
      </c>
    </row>
    <row r="97" spans="14:15" x14ac:dyDescent="0.2">
      <c r="N97" s="142" t="s">
        <v>491</v>
      </c>
      <c r="O97" s="141" t="s">
        <v>402</v>
      </c>
    </row>
    <row r="98" spans="14:15" x14ac:dyDescent="0.2">
      <c r="N98" s="148" t="s">
        <v>492</v>
      </c>
      <c r="O98" s="141" t="s">
        <v>402</v>
      </c>
    </row>
    <row r="99" spans="14:15" x14ac:dyDescent="0.2">
      <c r="N99" s="148" t="s">
        <v>493</v>
      </c>
      <c r="O99" s="141" t="s">
        <v>402</v>
      </c>
    </row>
    <row r="100" spans="14:15" x14ac:dyDescent="0.2">
      <c r="N100" s="148" t="s">
        <v>494</v>
      </c>
      <c r="O100" s="141" t="s">
        <v>402</v>
      </c>
    </row>
    <row r="101" spans="14:15" x14ac:dyDescent="0.2">
      <c r="N101" s="149" t="s">
        <v>3</v>
      </c>
      <c r="O101" s="150" t="s">
        <v>495</v>
      </c>
    </row>
  </sheetData>
  <autoFilter ref="N1:O180" xr:uid="{00000000-0009-0000-0000-000003000000}"/>
  <sortState xmlns:xlrd2="http://schemas.microsoft.com/office/spreadsheetml/2017/richdata2" ref="AG2:AG15">
    <sortCondition ref="AG2:AG15"/>
  </sortState>
  <conditionalFormatting sqref="J1">
    <cfRule type="cellIs" dxfId="41" priority="21" stopIfTrue="1" operator="equal">
      <formula>#REF!</formula>
    </cfRule>
  </conditionalFormatting>
  <conditionalFormatting sqref="C1">
    <cfRule type="cellIs" dxfId="40" priority="18" stopIfTrue="1" operator="equal">
      <formula>#REF!</formula>
    </cfRule>
  </conditionalFormatting>
  <conditionalFormatting sqref="H1">
    <cfRule type="cellIs" dxfId="39" priority="19" stopIfTrue="1" operator="equal">
      <formula>#REF!</formula>
    </cfRule>
  </conditionalFormatting>
  <conditionalFormatting sqref="L1">
    <cfRule type="cellIs" dxfId="38" priority="17" stopIfTrue="1" operator="equal">
      <formula>#REF!</formula>
    </cfRule>
  </conditionalFormatting>
  <conditionalFormatting sqref="Q1">
    <cfRule type="cellIs" dxfId="37" priority="14" stopIfTrue="1" operator="equal">
      <formula>#REF!</formula>
    </cfRule>
  </conditionalFormatting>
  <conditionalFormatting sqref="R1">
    <cfRule type="cellIs" dxfId="36" priority="13" stopIfTrue="1" operator="equal">
      <formula>#REF!</formula>
    </cfRule>
  </conditionalFormatting>
  <conditionalFormatting sqref="T1">
    <cfRule type="cellIs" dxfId="35" priority="10" stopIfTrue="1" operator="equal">
      <formula>#REF!</formula>
    </cfRule>
  </conditionalFormatting>
  <conditionalFormatting sqref="N1">
    <cfRule type="cellIs" dxfId="34" priority="9" stopIfTrue="1" operator="equal">
      <formula>#REF!</formula>
    </cfRule>
  </conditionalFormatting>
  <conditionalFormatting sqref="O1">
    <cfRule type="cellIs" dxfId="33" priority="8" stopIfTrue="1" operator="equal">
      <formula>#REF!</formula>
    </cfRule>
  </conditionalFormatting>
  <conditionalFormatting sqref="V1">
    <cfRule type="cellIs" dxfId="32" priority="7" stopIfTrue="1" operator="equal">
      <formula>#REF!</formula>
    </cfRule>
  </conditionalFormatting>
  <conditionalFormatting sqref="X1">
    <cfRule type="cellIs" dxfId="31" priority="6" stopIfTrue="1" operator="equal">
      <formula>#REF!</formula>
    </cfRule>
  </conditionalFormatting>
  <conditionalFormatting sqref="Z1">
    <cfRule type="cellIs" dxfId="30" priority="5" stopIfTrue="1" operator="equal">
      <formula>#REF!</formula>
    </cfRule>
  </conditionalFormatting>
  <conditionalFormatting sqref="AB1">
    <cfRule type="cellIs" dxfId="29" priority="4" stopIfTrue="1" operator="equal">
      <formula>#REF!</formula>
    </cfRule>
  </conditionalFormatting>
  <conditionalFormatting sqref="AC1">
    <cfRule type="cellIs" dxfId="28" priority="3" stopIfTrue="1" operator="equal">
      <formula>#REF!</formula>
    </cfRule>
  </conditionalFormatting>
  <conditionalFormatting sqref="AE1">
    <cfRule type="cellIs" dxfId="27" priority="2" stopIfTrue="1" operator="equal">
      <formula>#REF!</formula>
    </cfRule>
  </conditionalFormatting>
  <conditionalFormatting sqref="AG1">
    <cfRule type="cellIs" dxfId="26" priority="1" stopIfTrue="1" operator="equal">
      <formula>#REF!</formula>
    </cfRule>
  </conditionalFormatting>
  <pageMargins left="0.7" right="0.7" top="0.75" bottom="0.75" header="0.3" footer="0.3"/>
  <pageSetup paperSize="9" orientation="portrait" r:id="rId1"/>
  <headerFooter>
    <oddFooter>&amp;C&amp;1#&amp;"Helvetica 75 Bold"&amp;8&amp;KED7D31Orange Restricted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3">
    <tabColor theme="0" tint="-0.499984740745262"/>
  </sheetPr>
  <dimension ref="A1:V19"/>
  <sheetViews>
    <sheetView topLeftCell="B1" workbookViewId="0">
      <selection activeCell="G2" sqref="G2"/>
    </sheetView>
  </sheetViews>
  <sheetFormatPr baseColWidth="10" defaultColWidth="11.42578125" defaultRowHeight="12.75" x14ac:dyDescent="0.2"/>
  <cols>
    <col min="1" max="1" customWidth="true" style="68" width="26.0"/>
    <col min="2" max="2" customWidth="true" style="68" width="2.7109375"/>
    <col min="3" max="22" customWidth="true" style="68" width="7.5703125"/>
    <col min="23" max="16384" style="68" width="11.42578125"/>
  </cols>
  <sheetData>
    <row r="1" spans="1:22" x14ac:dyDescent="0.2">
      <c r="A1" s="10" t="s">
        <v>14</v>
      </c>
      <c r="B1" s="66"/>
      <c r="C1" s="67" t="s">
        <v>197</v>
      </c>
      <c r="D1" s="67" t="s">
        <v>77</v>
      </c>
      <c r="E1" s="67" t="s">
        <v>83</v>
      </c>
      <c r="F1" s="67" t="s">
        <v>85</v>
      </c>
      <c r="G1" s="67" t="s">
        <v>175</v>
      </c>
      <c r="H1" s="67" t="s">
        <v>104</v>
      </c>
      <c r="I1" s="67" t="s">
        <v>107</v>
      </c>
      <c r="J1" s="67" t="s">
        <v>176</v>
      </c>
      <c r="K1" s="67" t="s">
        <v>181</v>
      </c>
      <c r="L1" s="67" t="s">
        <v>188</v>
      </c>
      <c r="M1" s="67" t="s">
        <v>182</v>
      </c>
      <c r="N1" s="67" t="s">
        <v>145</v>
      </c>
      <c r="O1" s="67" t="s">
        <v>177</v>
      </c>
      <c r="P1" s="67" t="s">
        <v>178</v>
      </c>
      <c r="Q1" s="67" t="s">
        <v>187</v>
      </c>
      <c r="R1" s="67" t="s">
        <v>179</v>
      </c>
      <c r="S1" s="67" t="s">
        <v>180</v>
      </c>
      <c r="T1" s="67" t="s">
        <v>183</v>
      </c>
      <c r="U1" s="67" t="s">
        <v>103</v>
      </c>
      <c r="V1" s="67" t="s">
        <v>52</v>
      </c>
    </row>
    <row r="2" spans="1:22" x14ac:dyDescent="0.2">
      <c r="A2" s="10" t="s">
        <v>15</v>
      </c>
      <c r="C2" s="3" t="s">
        <v>196</v>
      </c>
      <c r="D2" s="69" t="s">
        <v>78</v>
      </c>
      <c r="E2" s="69" t="s">
        <v>84</v>
      </c>
      <c r="F2" s="69" t="s">
        <v>86</v>
      </c>
      <c r="G2" s="69" t="s">
        <v>90</v>
      </c>
      <c r="H2" s="69" t="s">
        <v>105</v>
      </c>
      <c r="I2" s="69" t="s">
        <v>108</v>
      </c>
      <c r="J2" s="69" t="s">
        <v>110</v>
      </c>
      <c r="K2" s="69" t="s">
        <v>127</v>
      </c>
      <c r="L2" s="69" t="s">
        <v>115</v>
      </c>
      <c r="M2" s="69" t="s">
        <v>136</v>
      </c>
      <c r="N2" s="69" t="s">
        <v>146</v>
      </c>
      <c r="O2" s="69" t="s">
        <v>152</v>
      </c>
      <c r="P2" s="69" t="s">
        <v>150</v>
      </c>
      <c r="Q2" s="69" t="s">
        <v>155</v>
      </c>
      <c r="R2" s="69" t="s">
        <v>162</v>
      </c>
      <c r="S2" s="69" t="s">
        <v>167</v>
      </c>
      <c r="T2" s="69" t="s">
        <v>171</v>
      </c>
      <c r="U2" s="70" t="s">
        <v>103</v>
      </c>
      <c r="V2" s="69" t="s">
        <v>174</v>
      </c>
    </row>
    <row r="3" spans="1:22" x14ac:dyDescent="0.2">
      <c r="A3" s="69"/>
      <c r="D3" s="69" t="s">
        <v>79</v>
      </c>
      <c r="F3" s="69" t="s">
        <v>87</v>
      </c>
      <c r="G3" s="69" t="s">
        <v>91</v>
      </c>
      <c r="H3" s="69" t="s">
        <v>106</v>
      </c>
      <c r="J3" s="69" t="s">
        <v>111</v>
      </c>
      <c r="L3" s="69" t="s">
        <v>129</v>
      </c>
      <c r="M3" s="69" t="s">
        <v>137</v>
      </c>
      <c r="N3" s="69" t="s">
        <v>147</v>
      </c>
      <c r="Q3" s="69" t="s">
        <v>156</v>
      </c>
      <c r="R3" s="69" t="s">
        <v>163</v>
      </c>
      <c r="S3" s="69" t="s">
        <v>168</v>
      </c>
      <c r="T3" s="69" t="s">
        <v>172</v>
      </c>
    </row>
    <row r="4" spans="1:22" x14ac:dyDescent="0.2">
      <c r="A4" s="66"/>
      <c r="D4" s="69" t="s">
        <v>80</v>
      </c>
      <c r="F4" s="69" t="s">
        <v>88</v>
      </c>
      <c r="G4" s="69" t="s">
        <v>78</v>
      </c>
      <c r="J4" s="69" t="s">
        <v>112</v>
      </c>
      <c r="L4" s="69" t="s">
        <v>121</v>
      </c>
      <c r="M4" s="69" t="s">
        <v>138</v>
      </c>
      <c r="N4" s="69" t="s">
        <v>148</v>
      </c>
      <c r="Q4" s="69" t="s">
        <v>124</v>
      </c>
      <c r="R4" s="69" t="s">
        <v>164</v>
      </c>
      <c r="S4" s="69" t="s">
        <v>164</v>
      </c>
      <c r="T4" s="69" t="s">
        <v>173</v>
      </c>
    </row>
    <row r="5" spans="1:22" x14ac:dyDescent="0.2">
      <c r="A5" s="66"/>
      <c r="D5" s="69" t="s">
        <v>81</v>
      </c>
      <c r="G5" s="69" t="s">
        <v>92</v>
      </c>
      <c r="J5" s="69" t="s">
        <v>113</v>
      </c>
      <c r="L5" s="69" t="s">
        <v>130</v>
      </c>
      <c r="M5" s="69" t="s">
        <v>139</v>
      </c>
      <c r="N5" s="69" t="s">
        <v>149</v>
      </c>
      <c r="Q5" s="69" t="s">
        <v>157</v>
      </c>
      <c r="R5" s="69" t="s">
        <v>165</v>
      </c>
      <c r="S5" s="69" t="s">
        <v>152</v>
      </c>
    </row>
    <row r="6" spans="1:22" x14ac:dyDescent="0.2">
      <c r="A6" s="66"/>
      <c r="D6" s="69" t="s">
        <v>82</v>
      </c>
      <c r="G6" s="69" t="s">
        <v>93</v>
      </c>
      <c r="J6" s="69" t="s">
        <v>114</v>
      </c>
      <c r="L6" s="69" t="s">
        <v>131</v>
      </c>
      <c r="M6" s="69" t="s">
        <v>140</v>
      </c>
      <c r="N6" s="69" t="s">
        <v>150</v>
      </c>
      <c r="Q6" s="69" t="s">
        <v>158</v>
      </c>
      <c r="S6" s="69" t="s">
        <v>169</v>
      </c>
    </row>
    <row r="7" spans="1:22" x14ac:dyDescent="0.2">
      <c r="A7" s="66"/>
      <c r="G7" s="69" t="s">
        <v>94</v>
      </c>
      <c r="J7" s="69" t="s">
        <v>115</v>
      </c>
      <c r="L7" s="69" t="s">
        <v>132</v>
      </c>
      <c r="M7" s="69" t="s">
        <v>141</v>
      </c>
      <c r="Q7" s="69" t="s">
        <v>142</v>
      </c>
    </row>
    <row r="8" spans="1:22" x14ac:dyDescent="0.2">
      <c r="A8" s="66"/>
      <c r="G8" s="69" t="s">
        <v>95</v>
      </c>
      <c r="J8" s="69" t="s">
        <v>116</v>
      </c>
      <c r="L8" s="69" t="s">
        <v>133</v>
      </c>
      <c r="M8" s="69" t="s">
        <v>142</v>
      </c>
      <c r="Q8" s="69" t="s">
        <v>159</v>
      </c>
    </row>
    <row r="9" spans="1:22" x14ac:dyDescent="0.2">
      <c r="A9" s="66"/>
      <c r="G9" s="69" t="s">
        <v>96</v>
      </c>
      <c r="J9" s="69" t="s">
        <v>117</v>
      </c>
      <c r="L9" s="69" t="s">
        <v>134</v>
      </c>
      <c r="M9" s="69" t="s">
        <v>143</v>
      </c>
      <c r="Q9" s="69" t="s">
        <v>160</v>
      </c>
    </row>
    <row r="10" spans="1:22" x14ac:dyDescent="0.2">
      <c r="A10" s="66"/>
      <c r="G10" s="69" t="s">
        <v>97</v>
      </c>
      <c r="J10" s="69" t="s">
        <v>118</v>
      </c>
      <c r="L10" s="69" t="s">
        <v>135</v>
      </c>
      <c r="M10" s="69" t="s">
        <v>144</v>
      </c>
      <c r="Q10" s="69" t="s">
        <v>103</v>
      </c>
    </row>
    <row r="11" spans="1:22" x14ac:dyDescent="0.2">
      <c r="A11" s="66"/>
      <c r="G11" s="69" t="s">
        <v>98</v>
      </c>
      <c r="J11" s="69" t="s">
        <v>119</v>
      </c>
      <c r="L11" s="69" t="s">
        <v>103</v>
      </c>
    </row>
    <row r="12" spans="1:22" x14ac:dyDescent="0.2">
      <c r="A12" s="66"/>
      <c r="G12" s="69" t="s">
        <v>99</v>
      </c>
      <c r="J12" s="69" t="s">
        <v>120</v>
      </c>
    </row>
    <row r="13" spans="1:22" x14ac:dyDescent="0.2">
      <c r="A13" s="66"/>
      <c r="G13" s="69" t="s">
        <v>100</v>
      </c>
      <c r="J13" s="69" t="s">
        <v>121</v>
      </c>
    </row>
    <row r="14" spans="1:22" x14ac:dyDescent="0.2">
      <c r="A14" s="66"/>
      <c r="G14" s="69" t="s">
        <v>101</v>
      </c>
      <c r="J14" s="69" t="s">
        <v>122</v>
      </c>
    </row>
    <row r="15" spans="1:22" x14ac:dyDescent="0.2">
      <c r="A15" s="66"/>
      <c r="G15" s="69" t="s">
        <v>102</v>
      </c>
      <c r="J15" s="69" t="s">
        <v>123</v>
      </c>
    </row>
    <row r="16" spans="1:22" x14ac:dyDescent="0.2">
      <c r="A16" s="66"/>
      <c r="G16" s="69" t="s">
        <v>103</v>
      </c>
      <c r="J16" s="69" t="s">
        <v>124</v>
      </c>
    </row>
    <row r="17" spans="1:10" x14ac:dyDescent="0.2">
      <c r="A17" s="66"/>
      <c r="J17" s="69" t="s">
        <v>103</v>
      </c>
    </row>
    <row r="18" spans="1:10" x14ac:dyDescent="0.2">
      <c r="A18" s="66"/>
      <c r="J18" s="69" t="s">
        <v>125</v>
      </c>
    </row>
    <row r="19" spans="1:10" x14ac:dyDescent="0.2">
      <c r="A19" s="66"/>
    </row>
  </sheetData>
  <conditionalFormatting sqref="A2">
    <cfRule type="cellIs" dxfId="25" priority="2" stopIfTrue="1" operator="equal">
      <formula>#REF!</formula>
    </cfRule>
  </conditionalFormatting>
  <conditionalFormatting sqref="A1">
    <cfRule type="cellIs" dxfId="24" priority="1" stopIfTrue="1" operator="equal">
      <formula>#REF!</formula>
    </cfRule>
  </conditionalFormatting>
  <pageMargins left="0.7" right="0.7" top="0.75" bottom="0.75" header="0.3" footer="0.3"/>
  <pageSetup paperSize="9" orientation="portrait" r:id="rId1"/>
  <headerFooter>
    <oddFooter>&amp;C&amp;1#&amp;"Helvetica 75 Bold"&amp;8&amp;KED7D31Orange Restricted</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7">
    <tabColor theme="0" tint="-0.34998626667073579"/>
  </sheetPr>
  <dimension ref="A1:S118"/>
  <sheetViews>
    <sheetView topLeftCell="D1" zoomScale="70" zoomScaleNormal="70" workbookViewId="0">
      <selection activeCell="F12" sqref="F12"/>
    </sheetView>
  </sheetViews>
  <sheetFormatPr baseColWidth="10" defaultColWidth="11.42578125" defaultRowHeight="12.75" x14ac:dyDescent="0.2"/>
  <cols>
    <col min="1" max="1" customWidth="true" width="45.140625"/>
    <col min="2" max="2" customWidth="true" width="48.28515625"/>
    <col min="3" max="3" customWidth="true" width="83.28515625"/>
    <col min="4" max="4" customWidth="true" width="46.42578125"/>
    <col min="6" max="6" customWidth="true" width="20.85546875"/>
    <col min="9" max="9" customWidth="true" width="19.0"/>
    <col min="10" max="10" customWidth="true" width="16.7109375"/>
    <col min="17" max="17" customWidth="true" width="23.28515625"/>
    <col min="18" max="18" customWidth="true" width="13.28515625"/>
  </cols>
  <sheetData>
    <row r="1" spans="1:19" ht="45.75" customHeight="1" x14ac:dyDescent="0.2">
      <c r="A1" s="96" t="s">
        <v>209</v>
      </c>
      <c r="B1" s="97" t="s">
        <v>210</v>
      </c>
      <c r="C1" s="97" t="s">
        <v>211</v>
      </c>
      <c r="D1" s="98" t="s">
        <v>212</v>
      </c>
      <c r="F1" t="s">
        <v>386</v>
      </c>
      <c r="H1" s="254" t="s">
        <v>771</v>
      </c>
      <c r="I1" s="254" t="s">
        <v>1061</v>
      </c>
      <c r="J1" s="258" t="s">
        <v>1062</v>
      </c>
      <c r="K1" s="258" t="s">
        <v>772</v>
      </c>
      <c r="L1" s="258" t="s">
        <v>1063</v>
      </c>
      <c r="M1" s="258" t="s">
        <v>773</v>
      </c>
      <c r="N1" s="259" t="s">
        <v>774</v>
      </c>
      <c r="P1" s="3" t="s">
        <v>771</v>
      </c>
      <c r="Q1" s="3" t="s">
        <v>1185</v>
      </c>
      <c r="R1" t="s">
        <v>212</v>
      </c>
      <c r="S1" s="3" t="s">
        <v>1186</v>
      </c>
    </row>
    <row r="2" spans="1:19" ht="38.25" x14ac:dyDescent="0.2">
      <c r="A2" s="94" t="s">
        <v>213</v>
      </c>
      <c r="B2" s="94" t="s">
        <v>214</v>
      </c>
      <c r="C2" s="94" t="s">
        <v>215</v>
      </c>
      <c r="D2" s="94" t="s">
        <v>216</v>
      </c>
      <c r="F2" s="3" t="s">
        <v>542</v>
      </c>
      <c r="H2" s="248" t="s">
        <v>775</v>
      </c>
      <c r="I2" s="249"/>
      <c r="J2" s="94"/>
      <c r="K2" s="94"/>
      <c r="L2" s="94"/>
      <c r="M2" s="94"/>
      <c r="N2" s="261"/>
      <c r="P2" s="293" t="str">
        <f>IF(Table4[[#This Row],[Description]]&lt;&gt;"",Table4[[#This Row],[Time Zone Zone Offset]]&amp;" - "&amp;Table4[[#This Row],[Description]],Table4[[#This Row],[Time Zone Zone Offset]])</f>
        <v>GMT - Greenwich Mean Time</v>
      </c>
      <c r="Q2" s="294" t="s">
        <v>1187</v>
      </c>
      <c r="R2" s="294" t="s">
        <v>1188</v>
      </c>
      <c r="S2" s="294" t="s">
        <v>1187</v>
      </c>
    </row>
    <row r="3" spans="1:19" ht="51" x14ac:dyDescent="0.2">
      <c r="A3" s="94" t="s">
        <v>217</v>
      </c>
      <c r="B3" s="94" t="s">
        <v>218</v>
      </c>
      <c r="C3" s="94" t="s">
        <v>219</v>
      </c>
      <c r="D3" s="94" t="s">
        <v>220</v>
      </c>
      <c r="F3" t="s">
        <v>387</v>
      </c>
      <c r="H3" s="249" t="str">
        <f>IF(Tableau3[[#This Row],[Language]]&lt;&gt;"",Tableau3[[#This Row],[Language]]&amp;" - "&amp;Tableau3[[#This Row],[Country]],"")</f>
        <v>Albanian (sq) - Albania (AL)</v>
      </c>
      <c r="I3" s="249" t="s">
        <v>776</v>
      </c>
      <c r="J3" s="94" t="s">
        <v>777</v>
      </c>
      <c r="K3" s="94"/>
      <c r="L3" s="94" t="s">
        <v>778</v>
      </c>
      <c r="M3" s="94" t="s">
        <v>779</v>
      </c>
      <c r="N3" s="261"/>
      <c r="P3" s="293" t="str">
        <f>IF(Table4[[#This Row],[Description]]&lt;&gt;"",Table4[[#This Row],[Time Zone Zone Offset]]&amp;" - "&amp;Table4[[#This Row],[Description]],Table4[[#This Row],[Time Zone Zone Offset]])</f>
        <v>CET - Central European Time</v>
      </c>
      <c r="Q3" s="294" t="s">
        <v>1189</v>
      </c>
      <c r="R3" s="294" t="s">
        <v>1190</v>
      </c>
      <c r="S3" s="294" t="s">
        <v>1191</v>
      </c>
    </row>
    <row r="4" spans="1:19" ht="63.75" x14ac:dyDescent="0.2">
      <c r="A4" s="94" t="s">
        <v>221</v>
      </c>
      <c r="B4" s="94" t="s">
        <v>222</v>
      </c>
      <c r="C4" s="94" t="s">
        <v>223</v>
      </c>
      <c r="D4" s="94" t="s">
        <v>224</v>
      </c>
      <c r="F4" s="3" t="s">
        <v>533</v>
      </c>
      <c r="H4" s="249" t="str">
        <f>IF(Tableau3[[#This Row],[Language]]&lt;&gt;"",Tableau3[[#This Row],[Language]]&amp;" - "&amp;Tableau3[[#This Row],[Country]],"")</f>
        <v>Arabic (ar) - Algeria (DZ)</v>
      </c>
      <c r="I4" s="249" t="s">
        <v>780</v>
      </c>
      <c r="J4" s="94" t="s">
        <v>781</v>
      </c>
      <c r="K4" s="94"/>
      <c r="L4" s="94" t="s">
        <v>782</v>
      </c>
      <c r="M4" s="94" t="s">
        <v>783</v>
      </c>
      <c r="N4" s="261"/>
      <c r="P4" s="293" t="str">
        <f>IF(Table4[[#This Row],[Description]]&lt;&gt;"",Table4[[#This Row],[Time Zone Zone Offset]]&amp;" - "&amp;Table4[[#This Row],[Description]],Table4[[#This Row],[Time Zone Zone Offset]])</f>
        <v>ART - (Arabic) Egypt Standard Time</v>
      </c>
      <c r="Q4" s="294" t="s">
        <v>1192</v>
      </c>
      <c r="R4" s="294" t="s">
        <v>1193</v>
      </c>
      <c r="S4" s="294" t="s">
        <v>1194</v>
      </c>
    </row>
    <row r="5" spans="1:19" ht="38.25" x14ac:dyDescent="0.2">
      <c r="A5" s="94" t="s">
        <v>225</v>
      </c>
      <c r="B5" s="94" t="s">
        <v>226</v>
      </c>
      <c r="C5" s="94" t="s">
        <v>227</v>
      </c>
      <c r="D5" s="94" t="s">
        <v>228</v>
      </c>
      <c r="F5" s="3" t="s">
        <v>390</v>
      </c>
      <c r="H5" s="249" t="str">
        <f>IF(Tableau3[[#This Row],[Language]]&lt;&gt;"",Tableau3[[#This Row],[Language]]&amp;" - "&amp;Tableau3[[#This Row],[Country]],"")</f>
        <v>Arabic (ar) - Bahrain (BH)</v>
      </c>
      <c r="I5" s="249" t="s">
        <v>780</v>
      </c>
      <c r="J5" s="94" t="s">
        <v>784</v>
      </c>
      <c r="K5" s="94"/>
      <c r="L5" s="94" t="s">
        <v>782</v>
      </c>
      <c r="M5" s="94" t="s">
        <v>785</v>
      </c>
      <c r="N5" s="261"/>
      <c r="P5" s="293" t="str">
        <f>IF(Table4[[#This Row],[Description]]&lt;&gt;"",Table4[[#This Row],[Time Zone Zone Offset]]&amp;" - "&amp;Table4[[#This Row],[Description]],Table4[[#This Row],[Time Zone Zone Offset]])</f>
        <v>EAT - Eastern African Time</v>
      </c>
      <c r="Q5" s="294" t="s">
        <v>1195</v>
      </c>
      <c r="R5" s="294" t="s">
        <v>1196</v>
      </c>
      <c r="S5" s="294" t="s">
        <v>1197</v>
      </c>
    </row>
    <row r="6" spans="1:19" ht="25.5" x14ac:dyDescent="0.2">
      <c r="A6" s="94" t="s">
        <v>229</v>
      </c>
      <c r="B6" s="94" t="s">
        <v>230</v>
      </c>
      <c r="C6" s="94" t="s">
        <v>231</v>
      </c>
      <c r="D6" s="94" t="s">
        <v>232</v>
      </c>
      <c r="F6" s="3" t="s">
        <v>534</v>
      </c>
      <c r="H6" s="249" t="str">
        <f>IF(Tableau3[[#This Row],[Language]]&lt;&gt;"",Tableau3[[#This Row],[Language]]&amp;" - "&amp;Tableau3[[#This Row],[Country]],"")</f>
        <v>Arabic (ar) - Egypt (EG)</v>
      </c>
      <c r="I6" s="249" t="s">
        <v>780</v>
      </c>
      <c r="J6" s="94" t="s">
        <v>786</v>
      </c>
      <c r="K6" s="94"/>
      <c r="L6" s="94" t="s">
        <v>782</v>
      </c>
      <c r="M6" s="94" t="s">
        <v>787</v>
      </c>
      <c r="N6" s="261"/>
      <c r="P6" s="293" t="str">
        <f>IF(Table4[[#This Row],[Description]]&lt;&gt;"",Table4[[#This Row],[Time Zone Zone Offset]]&amp;" - "&amp;Table4[[#This Row],[Description]],Table4[[#This Row],[Time Zone Zone Offset]])</f>
        <v>NET - Near East Time</v>
      </c>
      <c r="Q6" s="294" t="s">
        <v>1198</v>
      </c>
      <c r="R6" s="294" t="s">
        <v>1199</v>
      </c>
      <c r="S6" s="294" t="s">
        <v>1200</v>
      </c>
    </row>
    <row r="7" spans="1:19" ht="38.25" x14ac:dyDescent="0.2">
      <c r="A7" s="94" t="s">
        <v>233</v>
      </c>
      <c r="B7" s="94" t="s">
        <v>234</v>
      </c>
      <c r="C7" s="94" t="s">
        <v>235</v>
      </c>
      <c r="D7" s="94" t="s">
        <v>236</v>
      </c>
      <c r="F7" t="s">
        <v>388</v>
      </c>
      <c r="H7" s="249" t="str">
        <f>IF(Tableau3[[#This Row],[Language]]&lt;&gt;"",Tableau3[[#This Row],[Language]]&amp;" - "&amp;Tableau3[[#This Row],[Country]],"")</f>
        <v>Arabic (ar) - Iraq (IQ)</v>
      </c>
      <c r="I7" s="249" t="s">
        <v>780</v>
      </c>
      <c r="J7" s="94" t="s">
        <v>788</v>
      </c>
      <c r="K7" s="94"/>
      <c r="L7" s="94" t="s">
        <v>782</v>
      </c>
      <c r="M7" s="94" t="s">
        <v>789</v>
      </c>
      <c r="N7" s="261"/>
      <c r="P7" s="293" t="str">
        <f>IF(Table4[[#This Row],[Description]]&lt;&gt;"",Table4[[#This Row],[Time Zone Zone Offset]]&amp;" - "&amp;Table4[[#This Row],[Description]],Table4[[#This Row],[Time Zone Zone Offset]])</f>
        <v>PLT - Pakistan Lahore Time</v>
      </c>
      <c r="Q7" s="294" t="s">
        <v>1201</v>
      </c>
      <c r="R7" s="294" t="s">
        <v>1202</v>
      </c>
      <c r="S7" s="294" t="s">
        <v>1203</v>
      </c>
    </row>
    <row r="8" spans="1:19" ht="38.25" x14ac:dyDescent="0.2">
      <c r="A8" s="94" t="s">
        <v>237</v>
      </c>
      <c r="B8" s="94" t="s">
        <v>238</v>
      </c>
      <c r="C8" s="94" t="s">
        <v>239</v>
      </c>
      <c r="D8" s="94" t="s">
        <v>240</v>
      </c>
      <c r="F8" s="3" t="s">
        <v>389</v>
      </c>
      <c r="H8" s="249" t="str">
        <f>IF(Tableau3[[#This Row],[Language]]&lt;&gt;"",Tableau3[[#This Row],[Language]]&amp;" - "&amp;Tableau3[[#This Row],[Country]],"")</f>
        <v>Arabic (ar) - Jordan (JO)</v>
      </c>
      <c r="I8" s="249" t="s">
        <v>780</v>
      </c>
      <c r="J8" s="94" t="s">
        <v>790</v>
      </c>
      <c r="K8" s="94"/>
      <c r="L8" s="94" t="s">
        <v>782</v>
      </c>
      <c r="M8" s="94" t="s">
        <v>791</v>
      </c>
      <c r="N8" s="261"/>
      <c r="P8" s="293" t="str">
        <f>IF(Table4[[#This Row],[Description]]&lt;&gt;"",Table4[[#This Row],[Time Zone Zone Offset]]&amp;" - "&amp;Table4[[#This Row],[Description]],Table4[[#This Row],[Time Zone Zone Offset]])</f>
        <v>IST - India Standard Time</v>
      </c>
      <c r="Q8" s="294" t="s">
        <v>1204</v>
      </c>
      <c r="R8" s="294" t="s">
        <v>1205</v>
      </c>
      <c r="S8" s="294" t="s">
        <v>1206</v>
      </c>
    </row>
    <row r="9" spans="1:19" ht="51" x14ac:dyDescent="0.2">
      <c r="A9" s="94" t="s">
        <v>241</v>
      </c>
      <c r="B9" s="94" t="s">
        <v>242</v>
      </c>
      <c r="C9" s="94" t="s">
        <v>243</v>
      </c>
      <c r="D9" s="94" t="s">
        <v>244</v>
      </c>
      <c r="F9" s="3" t="s">
        <v>1164</v>
      </c>
      <c r="H9" s="249" t="str">
        <f>IF(Tableau3[[#This Row],[Language]]&lt;&gt;"",Tableau3[[#This Row],[Language]]&amp;" - "&amp;Tableau3[[#This Row],[Country]],"")</f>
        <v>Arabic (ar) - Kuwait (KW)</v>
      </c>
      <c r="I9" s="249" t="s">
        <v>780</v>
      </c>
      <c r="J9" s="94" t="s">
        <v>792</v>
      </c>
      <c r="K9" s="94"/>
      <c r="L9" s="94" t="s">
        <v>782</v>
      </c>
      <c r="M9" s="94" t="s">
        <v>793</v>
      </c>
      <c r="N9" s="261"/>
      <c r="P9" s="293" t="str">
        <f>IF(Table4[[#This Row],[Description]]&lt;&gt;"",Table4[[#This Row],[Time Zone Zone Offset]]&amp;" - "&amp;Table4[[#This Row],[Description]],Table4[[#This Row],[Time Zone Zone Offset]])</f>
        <v>BST - Bangladesh Standard Time</v>
      </c>
      <c r="Q9" s="294" t="s">
        <v>1207</v>
      </c>
      <c r="R9" s="294" t="s">
        <v>1208</v>
      </c>
      <c r="S9" s="294" t="s">
        <v>1209</v>
      </c>
    </row>
    <row r="10" spans="1:19" ht="51" x14ac:dyDescent="0.2">
      <c r="A10" s="94" t="s">
        <v>245</v>
      </c>
      <c r="B10" s="94" t="s">
        <v>246</v>
      </c>
      <c r="C10" s="94" t="s">
        <v>247</v>
      </c>
      <c r="D10" s="94" t="s">
        <v>248</v>
      </c>
      <c r="F10" s="3" t="s">
        <v>1347</v>
      </c>
      <c r="H10" s="249" t="str">
        <f>IF(Tableau3[[#This Row],[Language]]&lt;&gt;"",Tableau3[[#This Row],[Language]]&amp;" - "&amp;Tableau3[[#This Row],[Country]],"")</f>
        <v>Arabic (ar) - Lebanon (LB)</v>
      </c>
      <c r="I10" s="249" t="s">
        <v>780</v>
      </c>
      <c r="J10" s="94" t="s">
        <v>794</v>
      </c>
      <c r="K10" s="94"/>
      <c r="L10" s="94" t="s">
        <v>782</v>
      </c>
      <c r="M10" s="94" t="s">
        <v>795</v>
      </c>
      <c r="N10" s="261"/>
      <c r="P10" s="293" t="str">
        <f>IF(Table4[[#This Row],[Description]]&lt;&gt;"",Table4[[#This Row],[Time Zone Zone Offset]]&amp;" - "&amp;Table4[[#This Row],[Description]],Table4[[#This Row],[Time Zone Zone Offset]])</f>
        <v>VST - Vietnam Standard Time</v>
      </c>
      <c r="Q10" s="294" t="s">
        <v>1210</v>
      </c>
      <c r="R10" s="294" t="s">
        <v>1211</v>
      </c>
      <c r="S10" s="294" t="s">
        <v>1212</v>
      </c>
    </row>
    <row r="11" spans="1:19" ht="25.5" x14ac:dyDescent="0.2">
      <c r="A11" s="94" t="s">
        <v>249</v>
      </c>
      <c r="B11" s="94" t="s">
        <v>250</v>
      </c>
      <c r="C11" s="94" t="s">
        <v>251</v>
      </c>
      <c r="D11" s="94" t="s">
        <v>252</v>
      </c>
      <c r="F11" s="3" t="s">
        <v>1362</v>
      </c>
      <c r="H11" s="249" t="str">
        <f>IF(Tableau3[[#This Row],[Language]]&lt;&gt;"",Tableau3[[#This Row],[Language]]&amp;" - "&amp;Tableau3[[#This Row],[Country]],"")</f>
        <v>Arabic (ar) - Libya (LY)</v>
      </c>
      <c r="I11" s="249" t="s">
        <v>780</v>
      </c>
      <c r="J11" s="94" t="s">
        <v>796</v>
      </c>
      <c r="K11" s="94"/>
      <c r="L11" s="94" t="s">
        <v>782</v>
      </c>
      <c r="M11" s="94" t="s">
        <v>797</v>
      </c>
      <c r="N11" s="261"/>
      <c r="P11" s="293" t="str">
        <f>IF(Table4[[#This Row],[Description]]&lt;&gt;"",Table4[[#This Row],[Time Zone Zone Offset]]&amp;" - "&amp;Table4[[#This Row],[Description]],Table4[[#This Row],[Time Zone Zone Offset]])</f>
        <v>CTT - China Taiwan Time</v>
      </c>
      <c r="Q11" s="294" t="s">
        <v>1213</v>
      </c>
      <c r="R11" s="294" t="s">
        <v>1214</v>
      </c>
      <c r="S11" s="294" t="s">
        <v>1215</v>
      </c>
    </row>
    <row r="12" spans="1:19" ht="38.25" x14ac:dyDescent="0.2">
      <c r="A12" s="94" t="s">
        <v>253</v>
      </c>
      <c r="B12" s="94" t="s">
        <v>254</v>
      </c>
      <c r="C12" s="94" t="s">
        <v>255</v>
      </c>
      <c r="D12" s="94" t="s">
        <v>256</v>
      </c>
      <c r="F12" s="3" t="s">
        <v>1365</v>
      </c>
      <c r="H12" s="249" t="str">
        <f>IF(Tableau3[[#This Row],[Language]]&lt;&gt;"",Tableau3[[#This Row],[Language]]&amp;" - "&amp;Tableau3[[#This Row],[Country]],"")</f>
        <v>Arabic (ar) - Morocco (MA)</v>
      </c>
      <c r="I12" s="249" t="s">
        <v>780</v>
      </c>
      <c r="J12" s="94" t="s">
        <v>798</v>
      </c>
      <c r="K12" s="94"/>
      <c r="L12" s="94" t="s">
        <v>782</v>
      </c>
      <c r="M12" s="94" t="s">
        <v>799</v>
      </c>
      <c r="N12" s="261"/>
      <c r="P12" s="293" t="str">
        <f>IF(Table4[[#This Row],[Description]]&lt;&gt;"",Table4[[#This Row],[Time Zone Zone Offset]]&amp;" - "&amp;Table4[[#This Row],[Description]],Table4[[#This Row],[Time Zone Zone Offset]])</f>
        <v>JST - Japan Standard Time</v>
      </c>
      <c r="Q12" s="294" t="s">
        <v>1216</v>
      </c>
      <c r="R12" s="294" t="s">
        <v>1217</v>
      </c>
      <c r="S12" s="294" t="s">
        <v>1218</v>
      </c>
    </row>
    <row r="13" spans="1:19" ht="38.25" x14ac:dyDescent="0.2">
      <c r="A13" s="94" t="s">
        <v>257</v>
      </c>
      <c r="B13" s="94" t="s">
        <v>258</v>
      </c>
      <c r="C13" s="94" t="s">
        <v>259</v>
      </c>
      <c r="D13" s="94" t="s">
        <v>260</v>
      </c>
      <c r="H13" s="249" t="str">
        <f>IF(Tableau3[[#This Row],[Language]]&lt;&gt;"",Tableau3[[#This Row],[Language]]&amp;" - "&amp;Tableau3[[#This Row],[Country]],"")</f>
        <v>Arabic (ar) - Oman (OM)</v>
      </c>
      <c r="I13" s="249" t="s">
        <v>780</v>
      </c>
      <c r="J13" s="94" t="s">
        <v>800</v>
      </c>
      <c r="K13" s="94"/>
      <c r="L13" s="94" t="s">
        <v>782</v>
      </c>
      <c r="M13" s="94" t="s">
        <v>801</v>
      </c>
      <c r="N13" s="261"/>
      <c r="P13" s="293" t="str">
        <f>IF(Table4[[#This Row],[Description]]&lt;&gt;"",Table4[[#This Row],[Time Zone Zone Offset]]&amp;" - "&amp;Table4[[#This Row],[Description]],Table4[[#This Row],[Time Zone Zone Offset]])</f>
        <v>ACT - Australia Central Time</v>
      </c>
      <c r="Q13" s="294" t="s">
        <v>1219</v>
      </c>
      <c r="R13" s="294" t="s">
        <v>1220</v>
      </c>
      <c r="S13" s="294" t="s">
        <v>1221</v>
      </c>
    </row>
    <row r="14" spans="1:19" ht="51" x14ac:dyDescent="0.2">
      <c r="A14" s="94" t="s">
        <v>261</v>
      </c>
      <c r="B14" s="94" t="s">
        <v>262</v>
      </c>
      <c r="C14" s="94" t="s">
        <v>263</v>
      </c>
      <c r="D14" s="94" t="s">
        <v>264</v>
      </c>
      <c r="H14" s="249" t="str">
        <f>IF(Tableau3[[#This Row],[Language]]&lt;&gt;"",Tableau3[[#This Row],[Language]]&amp;" - "&amp;Tableau3[[#This Row],[Country]],"")</f>
        <v>Arabic (ar) - Qatar (QA)</v>
      </c>
      <c r="I14" s="249" t="s">
        <v>780</v>
      </c>
      <c r="J14" s="94" t="s">
        <v>802</v>
      </c>
      <c r="K14" s="94"/>
      <c r="L14" s="94" t="s">
        <v>782</v>
      </c>
      <c r="M14" s="94" t="s">
        <v>803</v>
      </c>
      <c r="N14" s="261"/>
      <c r="P14" s="293" t="str">
        <f>IF(Table4[[#This Row],[Description]]&lt;&gt;"",Table4[[#This Row],[Time Zone Zone Offset]]&amp;" - "&amp;Table4[[#This Row],[Description]],Table4[[#This Row],[Time Zone Zone Offset]])</f>
        <v>AET - Australia Eastern Time</v>
      </c>
      <c r="Q14" s="294" t="s">
        <v>1222</v>
      </c>
      <c r="R14" s="294" t="s">
        <v>1223</v>
      </c>
      <c r="S14" s="294" t="s">
        <v>1224</v>
      </c>
    </row>
    <row r="15" spans="1:19" ht="51" x14ac:dyDescent="0.2">
      <c r="A15" s="94" t="s">
        <v>265</v>
      </c>
      <c r="B15" s="94" t="s">
        <v>266</v>
      </c>
      <c r="C15" s="94" t="s">
        <v>267</v>
      </c>
      <c r="D15" s="94" t="s">
        <v>268</v>
      </c>
      <c r="H15" s="249" t="str">
        <f>IF(Tableau3[[#This Row],[Language]]&lt;&gt;"",Tableau3[[#This Row],[Language]]&amp;" - "&amp;Tableau3[[#This Row],[Country]],"")</f>
        <v>Arabic (ar) - Saudi Arabia (SA)</v>
      </c>
      <c r="I15" s="249" t="s">
        <v>780</v>
      </c>
      <c r="J15" s="94" t="s">
        <v>804</v>
      </c>
      <c r="K15" s="94"/>
      <c r="L15" s="94" t="s">
        <v>782</v>
      </c>
      <c r="M15" s="94" t="s">
        <v>805</v>
      </c>
      <c r="N15" s="261"/>
      <c r="P15" s="293" t="str">
        <f>IF(Table4[[#This Row],[Description]]&lt;&gt;"",Table4[[#This Row],[Time Zone Zone Offset]]&amp;" - "&amp;Table4[[#This Row],[Description]],Table4[[#This Row],[Time Zone Zone Offset]])</f>
        <v>SST - Solomon Standard Time</v>
      </c>
      <c r="Q15" s="294" t="s">
        <v>1225</v>
      </c>
      <c r="R15" s="294" t="s">
        <v>1226</v>
      </c>
      <c r="S15" s="294" t="s">
        <v>1227</v>
      </c>
    </row>
    <row r="16" spans="1:19" ht="51" x14ac:dyDescent="0.2">
      <c r="A16" s="94" t="s">
        <v>269</v>
      </c>
      <c r="B16" s="94" t="s">
        <v>270</v>
      </c>
      <c r="C16" s="94" t="s">
        <v>271</v>
      </c>
      <c r="D16" s="94" t="s">
        <v>272</v>
      </c>
      <c r="H16" s="249" t="str">
        <f>IF(Tableau3[[#This Row],[Language]]&lt;&gt;"",Tableau3[[#This Row],[Language]]&amp;" - "&amp;Tableau3[[#This Row],[Country]],"")</f>
        <v>Arabic (ar) - Sudan (SD)</v>
      </c>
      <c r="I16" s="249" t="s">
        <v>780</v>
      </c>
      <c r="J16" s="94" t="s">
        <v>806</v>
      </c>
      <c r="K16" s="94"/>
      <c r="L16" s="94" t="s">
        <v>782</v>
      </c>
      <c r="M16" s="94" t="s">
        <v>807</v>
      </c>
      <c r="N16" s="261"/>
      <c r="P16" s="293" t="str">
        <f>IF(Table4[[#This Row],[Description]]&lt;&gt;"",Table4[[#This Row],[Time Zone Zone Offset]]&amp;" - "&amp;Table4[[#This Row],[Description]],Table4[[#This Row],[Time Zone Zone Offset]])</f>
        <v>NST - New Zealand Standard Time</v>
      </c>
      <c r="Q16" s="294" t="s">
        <v>1228</v>
      </c>
      <c r="R16" s="294" t="s">
        <v>1229</v>
      </c>
      <c r="S16" s="294" t="s">
        <v>1230</v>
      </c>
    </row>
    <row r="17" spans="1:19" ht="51" x14ac:dyDescent="0.2">
      <c r="A17" s="94" t="s">
        <v>273</v>
      </c>
      <c r="B17" s="94" t="s">
        <v>274</v>
      </c>
      <c r="C17" s="94" t="s">
        <v>275</v>
      </c>
      <c r="D17" s="94" t="s">
        <v>276</v>
      </c>
      <c r="H17" s="249" t="str">
        <f>IF(Tableau3[[#This Row],[Language]]&lt;&gt;"",Tableau3[[#This Row],[Language]]&amp;" - "&amp;Tableau3[[#This Row],[Country]],"")</f>
        <v>Arabic (ar) - Syria (SY)</v>
      </c>
      <c r="I17" s="249" t="s">
        <v>780</v>
      </c>
      <c r="J17" s="94" t="s">
        <v>808</v>
      </c>
      <c r="K17" s="94"/>
      <c r="L17" s="94" t="s">
        <v>782</v>
      </c>
      <c r="M17" s="94" t="s">
        <v>809</v>
      </c>
      <c r="N17" s="261"/>
      <c r="P17" s="293" t="str">
        <f>IF(Table4[[#This Row],[Description]]&lt;&gt;"",Table4[[#This Row],[Time Zone Zone Offset]]&amp;" - "&amp;Table4[[#This Row],[Description]],Table4[[#This Row],[Time Zone Zone Offset]])</f>
        <v>HST - Hawaii Standard Time</v>
      </c>
      <c r="Q17" s="294" t="s">
        <v>1231</v>
      </c>
      <c r="R17" s="294" t="s">
        <v>1232</v>
      </c>
      <c r="S17" s="295" t="s">
        <v>1233</v>
      </c>
    </row>
    <row r="18" spans="1:19" ht="51" x14ac:dyDescent="0.2">
      <c r="A18" s="94" t="s">
        <v>277</v>
      </c>
      <c r="B18" s="94" t="s">
        <v>278</v>
      </c>
      <c r="C18" s="94" t="s">
        <v>279</v>
      </c>
      <c r="D18" s="94" t="s">
        <v>280</v>
      </c>
      <c r="H18" s="249" t="str">
        <f>IF(Tableau3[[#This Row],[Language]]&lt;&gt;"",Tableau3[[#This Row],[Language]]&amp;" - "&amp;Tableau3[[#This Row],[Country]],"")</f>
        <v>Arabic (ar) - Tunisia (TN)</v>
      </c>
      <c r="I18" s="249" t="s">
        <v>780</v>
      </c>
      <c r="J18" s="94" t="s">
        <v>810</v>
      </c>
      <c r="K18" s="94"/>
      <c r="L18" s="94" t="s">
        <v>782</v>
      </c>
      <c r="M18" s="94" t="s">
        <v>811</v>
      </c>
      <c r="N18" s="261"/>
      <c r="P18" s="293" t="str">
        <f>IF(Table4[[#This Row],[Description]]&lt;&gt;"",Table4[[#This Row],[Time Zone Zone Offset]]&amp;" - "&amp;Table4[[#This Row],[Description]],Table4[[#This Row],[Time Zone Zone Offset]])</f>
        <v>AST - Alaska Standard Time</v>
      </c>
      <c r="Q18" s="294" t="s">
        <v>1234</v>
      </c>
      <c r="R18" s="294" t="s">
        <v>1235</v>
      </c>
      <c r="S18" s="294" t="s">
        <v>1236</v>
      </c>
    </row>
    <row r="19" spans="1:19" ht="51" x14ac:dyDescent="0.2">
      <c r="A19" s="94" t="s">
        <v>281</v>
      </c>
      <c r="B19" s="94" t="s">
        <v>282</v>
      </c>
      <c r="C19" s="94" t="s">
        <v>283</v>
      </c>
      <c r="D19" s="94" t="s">
        <v>284</v>
      </c>
      <c r="H19" s="249" t="str">
        <f>IF(Tableau3[[#This Row],[Language]]&lt;&gt;"",Tableau3[[#This Row],[Language]]&amp;" - "&amp;Tableau3[[#This Row],[Country]],"")</f>
        <v>Arabic (ar) - United Arab Emirates (AE)</v>
      </c>
      <c r="I19" s="249" t="s">
        <v>780</v>
      </c>
      <c r="J19" s="94" t="s">
        <v>812</v>
      </c>
      <c r="K19" s="94"/>
      <c r="L19" s="94" t="s">
        <v>782</v>
      </c>
      <c r="M19" s="94" t="s">
        <v>813</v>
      </c>
      <c r="N19" s="261"/>
      <c r="P19" s="293" t="str">
        <f>IF(Table4[[#This Row],[Description]]&lt;&gt;"",Table4[[#This Row],[Time Zone Zone Offset]]&amp;" - "&amp;Table4[[#This Row],[Description]],Table4[[#This Row],[Time Zone Zone Offset]])</f>
        <v>PST - Pacific Standard Time</v>
      </c>
      <c r="Q19" s="294" t="s">
        <v>1237</v>
      </c>
      <c r="R19" s="294" t="s">
        <v>1238</v>
      </c>
      <c r="S19" s="294" t="s">
        <v>1239</v>
      </c>
    </row>
    <row r="20" spans="1:19" ht="51" x14ac:dyDescent="0.2">
      <c r="A20" s="94" t="s">
        <v>285</v>
      </c>
      <c r="B20" s="94" t="s">
        <v>286</v>
      </c>
      <c r="C20" s="94" t="s">
        <v>287</v>
      </c>
      <c r="D20" s="94" t="s">
        <v>288</v>
      </c>
      <c r="H20" s="249" t="str">
        <f>IF(Tableau3[[#This Row],[Language]]&lt;&gt;"",Tableau3[[#This Row],[Language]]&amp;" - "&amp;Tableau3[[#This Row],[Country]],"")</f>
        <v>Arabic (ar) - Yemen (YE)</v>
      </c>
      <c r="I20" s="249" t="s">
        <v>780</v>
      </c>
      <c r="J20" s="94" t="s">
        <v>814</v>
      </c>
      <c r="K20" s="94"/>
      <c r="L20" s="94" t="s">
        <v>782</v>
      </c>
      <c r="M20" s="94" t="s">
        <v>815</v>
      </c>
      <c r="N20" s="261"/>
      <c r="P20" s="293" t="str">
        <f>IF(Table4[[#This Row],[Description]]&lt;&gt;"",Table4[[#This Row],[Time Zone Zone Offset]]&amp;" - "&amp;Table4[[#This Row],[Description]],Table4[[#This Row],[Time Zone Zone Offset]])</f>
        <v>PNT - Phoenix Standard Time</v>
      </c>
      <c r="Q20" s="294" t="s">
        <v>1240</v>
      </c>
      <c r="R20" s="294" t="s">
        <v>1241</v>
      </c>
      <c r="S20" s="294" t="s">
        <v>1242</v>
      </c>
    </row>
    <row r="21" spans="1:19" ht="51" x14ac:dyDescent="0.2">
      <c r="A21" s="94" t="s">
        <v>289</v>
      </c>
      <c r="B21" s="94" t="s">
        <v>290</v>
      </c>
      <c r="C21" s="94" t="s">
        <v>291</v>
      </c>
      <c r="D21" s="94" t="s">
        <v>292</v>
      </c>
      <c r="H21" s="249" t="str">
        <f>IF(Tableau3[[#This Row],[Language]]&lt;&gt;"",Tableau3[[#This Row],[Language]]&amp;" - "&amp;Tableau3[[#This Row],[Country]],"")</f>
        <v>Belarusian (be) - Belarus (BY)</v>
      </c>
      <c r="I21" s="249" t="s">
        <v>816</v>
      </c>
      <c r="J21" s="94" t="s">
        <v>817</v>
      </c>
      <c r="K21" s="94"/>
      <c r="L21" s="94" t="s">
        <v>818</v>
      </c>
      <c r="M21" s="94" t="s">
        <v>819</v>
      </c>
      <c r="N21" s="261"/>
      <c r="P21" s="293" t="str">
        <f>IF(Table4[[#This Row],[Description]]&lt;&gt;"",Table4[[#This Row],[Time Zone Zone Offset]]&amp;" - "&amp;Table4[[#This Row],[Description]],Table4[[#This Row],[Time Zone Zone Offset]])</f>
        <v>MST - Mountain Standard Time</v>
      </c>
      <c r="Q21" s="294" t="s">
        <v>1243</v>
      </c>
      <c r="R21" s="294" t="s">
        <v>1244</v>
      </c>
      <c r="S21" s="295" t="s">
        <v>1245</v>
      </c>
    </row>
    <row r="22" spans="1:19" ht="51" x14ac:dyDescent="0.2">
      <c r="A22" s="94" t="s">
        <v>293</v>
      </c>
      <c r="B22" s="94" t="s">
        <v>294</v>
      </c>
      <c r="C22" s="94" t="s">
        <v>295</v>
      </c>
      <c r="D22" s="94" t="s">
        <v>296</v>
      </c>
      <c r="H22" s="249" t="str">
        <f>IF(Tableau3[[#This Row],[Language]]&lt;&gt;"",Tableau3[[#This Row],[Language]]&amp;" - "&amp;Tableau3[[#This Row],[Country]],"")</f>
        <v>Bulgarian (bg) - Bulgaria (BG)</v>
      </c>
      <c r="I22" s="249" t="s">
        <v>820</v>
      </c>
      <c r="J22" s="94" t="s">
        <v>821</v>
      </c>
      <c r="K22" s="94"/>
      <c r="L22" s="94" t="s">
        <v>818</v>
      </c>
      <c r="M22" s="94" t="s">
        <v>822</v>
      </c>
      <c r="N22" s="261"/>
      <c r="P22" s="293" t="str">
        <f>IF(Table4[[#This Row],[Description]]&lt;&gt;"",Table4[[#This Row],[Time Zone Zone Offset]]&amp;" - "&amp;Table4[[#This Row],[Description]],Table4[[#This Row],[Time Zone Zone Offset]])</f>
        <v>CST - Central Standard Time</v>
      </c>
      <c r="Q22" s="294" t="s">
        <v>1246</v>
      </c>
      <c r="R22" s="294" t="s">
        <v>1247</v>
      </c>
      <c r="S22" s="294" t="s">
        <v>1248</v>
      </c>
    </row>
    <row r="23" spans="1:19" ht="51" x14ac:dyDescent="0.2">
      <c r="A23" s="94" t="s">
        <v>297</v>
      </c>
      <c r="B23" s="94" t="s">
        <v>48</v>
      </c>
      <c r="C23" s="94" t="s">
        <v>298</v>
      </c>
      <c r="D23" s="94" t="s">
        <v>299</v>
      </c>
      <c r="H23" s="249" t="str">
        <f>IF(Tableau3[[#This Row],[Language]]&lt;&gt;"",Tableau3[[#This Row],[Language]]&amp;" - "&amp;Tableau3[[#This Row],[Country]],"")</f>
        <v>Catalan (ca) - Spain (ES)</v>
      </c>
      <c r="I23" s="249" t="s">
        <v>823</v>
      </c>
      <c r="J23" s="94" t="s">
        <v>824</v>
      </c>
      <c r="K23" s="94"/>
      <c r="L23" s="94" t="s">
        <v>778</v>
      </c>
      <c r="M23" s="94" t="s">
        <v>825</v>
      </c>
      <c r="N23" s="261"/>
      <c r="P23" s="293" t="str">
        <f>IF(Table4[[#This Row],[Description]]&lt;&gt;"",Table4[[#This Row],[Time Zone Zone Offset]]&amp;" - "&amp;Table4[[#This Row],[Description]],Table4[[#This Row],[Time Zone Zone Offset]])</f>
        <v>EST - Eastern Standard Time</v>
      </c>
      <c r="Q23" s="294" t="s">
        <v>1249</v>
      </c>
      <c r="R23" s="294" t="s">
        <v>1250</v>
      </c>
      <c r="S23" s="295" t="s">
        <v>1251</v>
      </c>
    </row>
    <row r="24" spans="1:19" ht="51" x14ac:dyDescent="0.2">
      <c r="A24" s="94" t="s">
        <v>300</v>
      </c>
      <c r="B24" s="94" t="s">
        <v>300</v>
      </c>
      <c r="C24" s="94" t="s">
        <v>301</v>
      </c>
      <c r="D24" s="94" t="s">
        <v>302</v>
      </c>
      <c r="H24" s="249" t="str">
        <f>IF(Tableau3[[#This Row],[Language]]&lt;&gt;"",Tableau3[[#This Row],[Language]]&amp;" - "&amp;Tableau3[[#This Row],[Country]],"")</f>
        <v>Chinese (zh) - China (CN)</v>
      </c>
      <c r="I24" s="249" t="s">
        <v>826</v>
      </c>
      <c r="J24" s="94" t="s">
        <v>827</v>
      </c>
      <c r="K24" s="94"/>
      <c r="L24" s="94" t="s">
        <v>828</v>
      </c>
      <c r="M24" s="94" t="s">
        <v>829</v>
      </c>
      <c r="N24" s="261"/>
      <c r="P24" s="293" t="str">
        <f>IF(Table4[[#This Row],[Description]]&lt;&gt;"",Table4[[#This Row],[Time Zone Zone Offset]]&amp;" - "&amp;Table4[[#This Row],[Description]],Table4[[#This Row],[Time Zone Zone Offset]])</f>
        <v>IET - Indiana Eastern Standard Time</v>
      </c>
      <c r="Q24" s="294" t="s">
        <v>1252</v>
      </c>
      <c r="R24" s="294" t="s">
        <v>1253</v>
      </c>
      <c r="S24" s="294" t="s">
        <v>1254</v>
      </c>
    </row>
    <row r="25" spans="1:19" ht="63.75" x14ac:dyDescent="0.2">
      <c r="A25" s="94" t="s">
        <v>303</v>
      </c>
      <c r="B25" s="94" t="s">
        <v>304</v>
      </c>
      <c r="C25" s="94" t="s">
        <v>305</v>
      </c>
      <c r="D25" s="94" t="s">
        <v>306</v>
      </c>
      <c r="H25" s="249" t="str">
        <f>IF(Tableau3[[#This Row],[Language]]&lt;&gt;"",Tableau3[[#This Row],[Language]]&amp;" - "&amp;Tableau3[[#This Row],[Country]],"")</f>
        <v>Chinese (zh) - Singapore (SG)</v>
      </c>
      <c r="I25" s="249" t="s">
        <v>826</v>
      </c>
      <c r="J25" s="94" t="s">
        <v>830</v>
      </c>
      <c r="K25" s="94"/>
      <c r="L25" s="94" t="s">
        <v>828</v>
      </c>
      <c r="M25" s="267" t="s">
        <v>831</v>
      </c>
      <c r="N25" s="261"/>
      <c r="P25" s="293" t="str">
        <f>IF(Table4[[#This Row],[Description]]&lt;&gt;"",Table4[[#This Row],[Time Zone Zone Offset]]&amp;" - "&amp;Table4[[#This Row],[Description]],Table4[[#This Row],[Time Zone Zone Offset]])</f>
        <v>PRT - Puerto Rico and US Virgin Islands Time</v>
      </c>
      <c r="Q25" s="294" t="s">
        <v>1255</v>
      </c>
      <c r="R25" s="294" t="s">
        <v>1256</v>
      </c>
      <c r="S25" s="294" t="s">
        <v>1257</v>
      </c>
    </row>
    <row r="26" spans="1:19" ht="51" x14ac:dyDescent="0.2">
      <c r="A26" s="94" t="s">
        <v>307</v>
      </c>
      <c r="B26" s="94" t="s">
        <v>308</v>
      </c>
      <c r="C26" s="94" t="s">
        <v>309</v>
      </c>
      <c r="D26" s="94" t="s">
        <v>310</v>
      </c>
      <c r="H26" s="249" t="str">
        <f>IF(Tableau3[[#This Row],[Language]]&lt;&gt;"",Tableau3[[#This Row],[Language]]&amp;" - "&amp;Tableau3[[#This Row],[Country]],"")</f>
        <v>Chinese (zh) - Hong Kong (HK)</v>
      </c>
      <c r="I26" s="249" t="s">
        <v>826</v>
      </c>
      <c r="J26" s="94" t="s">
        <v>832</v>
      </c>
      <c r="K26" s="94"/>
      <c r="L26" s="94" t="s">
        <v>833</v>
      </c>
      <c r="M26" s="94" t="s">
        <v>834</v>
      </c>
      <c r="N26" s="261"/>
      <c r="P26" s="293" t="str">
        <f>IF(Table4[[#This Row],[Description]]&lt;&gt;"",Table4[[#This Row],[Time Zone Zone Offset]]&amp;" - "&amp;Table4[[#This Row],[Description]],Table4[[#This Row],[Time Zone Zone Offset]])</f>
        <v>CNT - Canada Newfoundland Time</v>
      </c>
      <c r="Q26" s="294" t="s">
        <v>1258</v>
      </c>
      <c r="R26" s="294" t="s">
        <v>1259</v>
      </c>
      <c r="S26" s="294" t="s">
        <v>1260</v>
      </c>
    </row>
    <row r="27" spans="1:19" ht="51" x14ac:dyDescent="0.2">
      <c r="A27" s="94" t="s">
        <v>311</v>
      </c>
      <c r="B27" s="94" t="s">
        <v>312</v>
      </c>
      <c r="C27" s="94" t="s">
        <v>313</v>
      </c>
      <c r="D27" s="94" t="s">
        <v>314</v>
      </c>
      <c r="H27" s="249" t="str">
        <f>IF(Tableau3[[#This Row],[Language]]&lt;&gt;"",Tableau3[[#This Row],[Language]]&amp;" - "&amp;Tableau3[[#This Row],[Country]],"")</f>
        <v>Chinese (zh) - Taiwan (TW)</v>
      </c>
      <c r="I27" s="249" t="s">
        <v>826</v>
      </c>
      <c r="J27" s="94" t="s">
        <v>835</v>
      </c>
      <c r="K27" s="94"/>
      <c r="L27" s="94" t="s">
        <v>833</v>
      </c>
      <c r="M27" s="94" t="s">
        <v>836</v>
      </c>
      <c r="N27" s="261"/>
      <c r="P27" s="293" t="str">
        <f>IF(Table4[[#This Row],[Description]]&lt;&gt;"",Table4[[#This Row],[Time Zone Zone Offset]]&amp;" - "&amp;Table4[[#This Row],[Description]],Table4[[#This Row],[Time Zone Zone Offset]])</f>
        <v>AGT - Argentina Standard Time</v>
      </c>
      <c r="Q27" s="294" t="s">
        <v>1261</v>
      </c>
      <c r="R27" s="294" t="s">
        <v>1262</v>
      </c>
      <c r="S27" s="294" t="s">
        <v>1263</v>
      </c>
    </row>
    <row r="28" spans="1:19" ht="38.25" x14ac:dyDescent="0.2">
      <c r="A28" s="94" t="s">
        <v>315</v>
      </c>
      <c r="B28" s="94" t="s">
        <v>316</v>
      </c>
      <c r="C28" s="94" t="s">
        <v>317</v>
      </c>
      <c r="D28" s="94" t="s">
        <v>318</v>
      </c>
      <c r="H28" s="249" t="str">
        <f>IF(Tableau3[[#This Row],[Language]]&lt;&gt;"",Tableau3[[#This Row],[Language]]&amp;" - "&amp;Tableau3[[#This Row],[Country]],"")</f>
        <v>Croatian (hr) - Croatia (HR)</v>
      </c>
      <c r="I28" s="249" t="s">
        <v>837</v>
      </c>
      <c r="J28" s="94" t="s">
        <v>838</v>
      </c>
      <c r="K28" s="94"/>
      <c r="L28" s="94" t="s">
        <v>778</v>
      </c>
      <c r="M28" s="94" t="s">
        <v>839</v>
      </c>
      <c r="N28" s="261"/>
      <c r="P28" s="293" t="str">
        <f>IF(Table4[[#This Row],[Description]]&lt;&gt;"",Table4[[#This Row],[Time Zone Zone Offset]]&amp;" - "&amp;Table4[[#This Row],[Description]],Table4[[#This Row],[Time Zone Zone Offset]])</f>
        <v>BET - Brazil Eastern Time</v>
      </c>
      <c r="Q28" s="294" t="s">
        <v>1264</v>
      </c>
      <c r="R28" s="294" t="s">
        <v>1265</v>
      </c>
      <c r="S28" s="294" t="s">
        <v>1266</v>
      </c>
    </row>
    <row r="29" spans="1:19" ht="51" x14ac:dyDescent="0.2">
      <c r="A29" s="94" t="s">
        <v>319</v>
      </c>
      <c r="B29" s="94" t="s">
        <v>320</v>
      </c>
      <c r="C29" s="94" t="s">
        <v>321</v>
      </c>
      <c r="D29" s="94" t="s">
        <v>322</v>
      </c>
      <c r="H29" s="249" t="str">
        <f>IF(Tableau3[[#This Row],[Language]]&lt;&gt;"",Tableau3[[#This Row],[Language]]&amp;" - "&amp;Tableau3[[#This Row],[Country]],"")</f>
        <v>Czech (cs) - Czech Republic (CZ)</v>
      </c>
      <c r="I29" s="249" t="s">
        <v>840</v>
      </c>
      <c r="J29" s="94" t="s">
        <v>841</v>
      </c>
      <c r="K29" s="94"/>
      <c r="L29" s="94" t="s">
        <v>778</v>
      </c>
      <c r="M29" s="94" t="s">
        <v>842</v>
      </c>
      <c r="N29" s="261"/>
      <c r="P29" s="293" t="str">
        <f>IF(Table4[[#This Row],[Description]]&lt;&gt;"",Table4[[#This Row],[Time Zone Zone Offset]]&amp;" - "&amp;Table4[[#This Row],[Description]],Table4[[#This Row],[Time Zone Zone Offset]])</f>
        <v>CAT - Central African Time</v>
      </c>
      <c r="Q29" s="294" t="s">
        <v>1267</v>
      </c>
      <c r="R29" s="294" t="s">
        <v>1268</v>
      </c>
      <c r="S29" s="294" t="s">
        <v>1269</v>
      </c>
    </row>
    <row r="30" spans="1:19" ht="38.25" x14ac:dyDescent="0.2">
      <c r="A30" s="94" t="s">
        <v>323</v>
      </c>
      <c r="B30" s="94" t="s">
        <v>324</v>
      </c>
      <c r="C30" s="94" t="s">
        <v>325</v>
      </c>
      <c r="D30" s="94" t="s">
        <v>326</v>
      </c>
      <c r="H30" s="249" t="str">
        <f>IF(Tableau3[[#This Row],[Language]]&lt;&gt;"",Tableau3[[#This Row],[Language]]&amp;" - "&amp;Tableau3[[#This Row],[Country]],"")</f>
        <v>Danish (da) - Denmark (DK)</v>
      </c>
      <c r="I30" s="249" t="s">
        <v>843</v>
      </c>
      <c r="J30" s="94" t="s">
        <v>844</v>
      </c>
      <c r="K30" s="94"/>
      <c r="L30" s="94" t="s">
        <v>778</v>
      </c>
      <c r="M30" s="94" t="s">
        <v>845</v>
      </c>
      <c r="N30" s="261"/>
      <c r="P30" s="293" t="str">
        <f>IF(Table4[[#This Row],[Description]]&lt;&gt;"",Table4[[#This Row],[Time Zone Zone Offset]]&amp;" - "&amp;Table4[[#This Row],[Description]],Table4[[#This Row],[Time Zone Zone Offset]])</f>
        <v>GMT+00:00</v>
      </c>
      <c r="Q30" s="294" t="s">
        <v>1270</v>
      </c>
      <c r="R30" s="294"/>
      <c r="S30" s="294" t="s">
        <v>1187</v>
      </c>
    </row>
    <row r="31" spans="1:19" ht="38.25" x14ac:dyDescent="0.2">
      <c r="A31" s="94" t="s">
        <v>327</v>
      </c>
      <c r="B31" s="94" t="s">
        <v>328</v>
      </c>
      <c r="C31" s="94" t="s">
        <v>329</v>
      </c>
      <c r="D31" s="94" t="s">
        <v>330</v>
      </c>
      <c r="H31" s="249" t="str">
        <f>IF(Tableau3[[#This Row],[Language]]&lt;&gt;"",Tableau3[[#This Row],[Language]]&amp;" - "&amp;Tableau3[[#This Row],[Country]],"")</f>
        <v>Dutch (nl) - Belgium (BE)</v>
      </c>
      <c r="I31" s="249" t="s">
        <v>846</v>
      </c>
      <c r="J31" s="94" t="s">
        <v>847</v>
      </c>
      <c r="K31" s="94"/>
      <c r="L31" s="94" t="s">
        <v>778</v>
      </c>
      <c r="M31" s="94" t="s">
        <v>848</v>
      </c>
      <c r="N31" s="261"/>
      <c r="P31" s="293" t="str">
        <f>IF(Table4[[#This Row],[Description]]&lt;&gt;"",Table4[[#This Row],[Time Zone Zone Offset]]&amp;" - "&amp;Table4[[#This Row],[Description]],Table4[[#This Row],[Time Zone Zone Offset]])</f>
        <v>GMT+01:00</v>
      </c>
      <c r="Q31" s="294" t="s">
        <v>1271</v>
      </c>
      <c r="R31" s="294"/>
      <c r="S31" s="295" t="s">
        <v>1272</v>
      </c>
    </row>
    <row r="32" spans="1:19" ht="38.25" x14ac:dyDescent="0.2">
      <c r="A32" s="94" t="s">
        <v>331</v>
      </c>
      <c r="B32" s="94" t="s">
        <v>332</v>
      </c>
      <c r="C32" s="94" t="s">
        <v>333</v>
      </c>
      <c r="D32" s="94" t="s">
        <v>334</v>
      </c>
      <c r="H32" s="249" t="str">
        <f>IF(Tableau3[[#This Row],[Language]]&lt;&gt;"",Tableau3[[#This Row],[Language]]&amp;" - "&amp;Tableau3[[#This Row],[Country]],"")</f>
        <v>Dutch (nl) - Netherlands (NL)</v>
      </c>
      <c r="I32" s="249" t="s">
        <v>846</v>
      </c>
      <c r="J32" s="94" t="s">
        <v>849</v>
      </c>
      <c r="K32" s="94"/>
      <c r="L32" s="94" t="s">
        <v>778</v>
      </c>
      <c r="M32" s="94" t="s">
        <v>850</v>
      </c>
      <c r="N32" s="261"/>
      <c r="P32" s="293" t="str">
        <f>IF(Table4[[#This Row],[Description]]&lt;&gt;"",Table4[[#This Row],[Time Zone Zone Offset]]&amp;" - "&amp;Table4[[#This Row],[Description]],Table4[[#This Row],[Time Zone Zone Offset]])</f>
        <v>GMT+02:00</v>
      </c>
      <c r="Q32" s="294" t="s">
        <v>1273</v>
      </c>
      <c r="R32" s="294"/>
      <c r="S32" s="295" t="s">
        <v>1274</v>
      </c>
    </row>
    <row r="33" spans="1:19" ht="38.25" x14ac:dyDescent="0.2">
      <c r="A33" s="94" t="s">
        <v>335</v>
      </c>
      <c r="B33" s="94" t="s">
        <v>336</v>
      </c>
      <c r="C33" s="94" t="s">
        <v>337</v>
      </c>
      <c r="D33" s="94" t="s">
        <v>338</v>
      </c>
      <c r="H33" s="249" t="str">
        <f>IF(Tableau3[[#This Row],[Language]]&lt;&gt;"",Tableau3[[#This Row],[Language]]&amp;" - "&amp;Tableau3[[#This Row],[Country]],"")</f>
        <v>English (en) - Australia (AU)</v>
      </c>
      <c r="I33" s="249" t="s">
        <v>851</v>
      </c>
      <c r="J33" s="94" t="s">
        <v>852</v>
      </c>
      <c r="K33" s="94"/>
      <c r="L33" s="94" t="s">
        <v>778</v>
      </c>
      <c r="M33" s="94" t="s">
        <v>853</v>
      </c>
      <c r="N33" s="261"/>
      <c r="P33" s="293" t="str">
        <f>IF(Table4[[#This Row],[Description]]&lt;&gt;"",Table4[[#This Row],[Time Zone Zone Offset]]&amp;" - "&amp;Table4[[#This Row],[Description]],Table4[[#This Row],[Time Zone Zone Offset]])</f>
        <v>GMT+03:00</v>
      </c>
      <c r="Q33" s="294" t="s">
        <v>1275</v>
      </c>
      <c r="R33" s="294"/>
      <c r="S33" s="295" t="s">
        <v>1276</v>
      </c>
    </row>
    <row r="34" spans="1:19" ht="38.25" x14ac:dyDescent="0.2">
      <c r="A34" s="94" t="s">
        <v>339</v>
      </c>
      <c r="B34" s="94" t="s">
        <v>340</v>
      </c>
      <c r="C34" s="94" t="s">
        <v>341</v>
      </c>
      <c r="D34" s="94" t="s">
        <v>342</v>
      </c>
      <c r="H34" s="249" t="str">
        <f>IF(Tableau3[[#This Row],[Language]]&lt;&gt;"",Tableau3[[#This Row],[Language]]&amp;" - "&amp;Tableau3[[#This Row],[Country]],"")</f>
        <v>English (en) - Canada (CA)</v>
      </c>
      <c r="I34" s="249" t="s">
        <v>851</v>
      </c>
      <c r="J34" s="94" t="s">
        <v>854</v>
      </c>
      <c r="K34" s="94"/>
      <c r="L34" s="94" t="s">
        <v>778</v>
      </c>
      <c r="M34" s="94" t="s">
        <v>855</v>
      </c>
      <c r="N34" s="261"/>
      <c r="P34" s="293" t="str">
        <f>IF(Table4[[#This Row],[Description]]&lt;&gt;"",Table4[[#This Row],[Time Zone Zone Offset]]&amp;" - "&amp;Table4[[#This Row],[Description]],Table4[[#This Row],[Time Zone Zone Offset]])</f>
        <v>GMT+04:00</v>
      </c>
      <c r="Q34" s="294" t="s">
        <v>1277</v>
      </c>
      <c r="R34" s="294"/>
      <c r="S34" s="295" t="s">
        <v>1278</v>
      </c>
    </row>
    <row r="35" spans="1:19" ht="25.5" x14ac:dyDescent="0.2">
      <c r="A35" s="94" t="s">
        <v>343</v>
      </c>
      <c r="B35" s="94" t="s">
        <v>344</v>
      </c>
      <c r="C35" s="94" t="s">
        <v>345</v>
      </c>
      <c r="D35" s="94" t="s">
        <v>346</v>
      </c>
      <c r="H35" s="249" t="str">
        <f>IF(Tableau3[[#This Row],[Language]]&lt;&gt;"",Tableau3[[#This Row],[Language]]&amp;" - "&amp;Tableau3[[#This Row],[Country]],"")</f>
        <v>English (en) - India (IN)</v>
      </c>
      <c r="I35" s="249" t="s">
        <v>851</v>
      </c>
      <c r="J35" s="94" t="s">
        <v>856</v>
      </c>
      <c r="K35" s="94"/>
      <c r="L35" s="94" t="s">
        <v>778</v>
      </c>
      <c r="M35" s="94" t="s">
        <v>857</v>
      </c>
      <c r="N35" s="261"/>
      <c r="P35" s="293" t="str">
        <f>IF(Table4[[#This Row],[Description]]&lt;&gt;"",Table4[[#This Row],[Time Zone Zone Offset]]&amp;" - "&amp;Table4[[#This Row],[Description]],Table4[[#This Row],[Time Zone Zone Offset]])</f>
        <v>GMT+05:00</v>
      </c>
      <c r="Q35" s="294" t="s">
        <v>1279</v>
      </c>
      <c r="R35" s="294"/>
      <c r="S35" s="295" t="s">
        <v>1280</v>
      </c>
    </row>
    <row r="36" spans="1:19" ht="25.5" x14ac:dyDescent="0.2">
      <c r="A36" s="94" t="s">
        <v>347</v>
      </c>
      <c r="B36" s="94" t="s">
        <v>348</v>
      </c>
      <c r="C36" s="94" t="s">
        <v>349</v>
      </c>
      <c r="D36" s="94" t="s">
        <v>350</v>
      </c>
      <c r="H36" s="249" t="str">
        <f>IF(Tableau3[[#This Row],[Language]]&lt;&gt;"",Tableau3[[#This Row],[Language]]&amp;" - "&amp;Tableau3[[#This Row],[Country]],"")</f>
        <v>English (en) - Ireland (IE)</v>
      </c>
      <c r="I36" s="249" t="s">
        <v>851</v>
      </c>
      <c r="J36" s="94" t="s">
        <v>858</v>
      </c>
      <c r="K36" s="94"/>
      <c r="L36" s="94" t="s">
        <v>778</v>
      </c>
      <c r="M36" s="94" t="s">
        <v>859</v>
      </c>
      <c r="N36" s="261"/>
      <c r="P36" s="293" t="str">
        <f>IF(Table4[[#This Row],[Description]]&lt;&gt;"",Table4[[#This Row],[Time Zone Zone Offset]]&amp;" - "&amp;Table4[[#This Row],[Description]],Table4[[#This Row],[Time Zone Zone Offset]])</f>
        <v>GMT+06:00</v>
      </c>
      <c r="Q36" s="294" t="s">
        <v>1281</v>
      </c>
      <c r="R36" s="294"/>
      <c r="S36" s="295" t="s">
        <v>1282</v>
      </c>
    </row>
    <row r="37" spans="1:19" ht="25.5" x14ac:dyDescent="0.2">
      <c r="A37" s="94" t="s">
        <v>351</v>
      </c>
      <c r="B37" s="94" t="s">
        <v>352</v>
      </c>
      <c r="C37" s="94" t="s">
        <v>353</v>
      </c>
      <c r="D37" s="94" t="s">
        <v>354</v>
      </c>
      <c r="H37" s="249" t="str">
        <f>IF(Tableau3[[#This Row],[Language]]&lt;&gt;"",Tableau3[[#This Row],[Language]]&amp;" - "&amp;Tableau3[[#This Row],[Country]],"")</f>
        <v>English (en) - Malta (MT)</v>
      </c>
      <c r="I37" s="249" t="s">
        <v>851</v>
      </c>
      <c r="J37" s="94" t="s">
        <v>860</v>
      </c>
      <c r="K37" s="94"/>
      <c r="L37" s="94" t="s">
        <v>778</v>
      </c>
      <c r="M37" s="267" t="s">
        <v>861</v>
      </c>
      <c r="N37" s="261"/>
      <c r="P37" s="293" t="str">
        <f>IF(Table4[[#This Row],[Description]]&lt;&gt;"",Table4[[#This Row],[Time Zone Zone Offset]]&amp;" - "&amp;Table4[[#This Row],[Description]],Table4[[#This Row],[Time Zone Zone Offset]])</f>
        <v>GMT+07:00</v>
      </c>
      <c r="Q37" s="294" t="s">
        <v>1283</v>
      </c>
      <c r="R37" s="294"/>
      <c r="S37" s="295" t="s">
        <v>1284</v>
      </c>
    </row>
    <row r="38" spans="1:19" ht="38.25" x14ac:dyDescent="0.2">
      <c r="A38" s="95" t="s">
        <v>355</v>
      </c>
      <c r="B38" s="94" t="s">
        <v>356</v>
      </c>
      <c r="C38" s="95" t="s">
        <v>355</v>
      </c>
      <c r="D38" s="94" t="s">
        <v>357</v>
      </c>
      <c r="H38" s="249" t="str">
        <f>IF(Tableau3[[#This Row],[Language]]&lt;&gt;"",Tableau3[[#This Row],[Language]]&amp;" - "&amp;Tableau3[[#This Row],[Country]],"")</f>
        <v>English (en) - New Zealand (NZ)</v>
      </c>
      <c r="I38" s="249" t="s">
        <v>851</v>
      </c>
      <c r="J38" s="94" t="s">
        <v>862</v>
      </c>
      <c r="K38" s="94"/>
      <c r="L38" s="94" t="s">
        <v>778</v>
      </c>
      <c r="M38" s="94" t="s">
        <v>863</v>
      </c>
      <c r="N38" s="261"/>
      <c r="P38" s="293" t="str">
        <f>IF(Table4[[#This Row],[Description]]&lt;&gt;"",Table4[[#This Row],[Time Zone Zone Offset]]&amp;" - "&amp;Table4[[#This Row],[Description]],Table4[[#This Row],[Time Zone Zone Offset]])</f>
        <v>GMT+08:00</v>
      </c>
      <c r="Q38" s="294" t="s">
        <v>1285</v>
      </c>
      <c r="R38" s="294"/>
      <c r="S38" s="295" t="s">
        <v>1286</v>
      </c>
    </row>
    <row r="39" spans="1:19" ht="38.25" x14ac:dyDescent="0.2">
      <c r="A39" s="94" t="s">
        <v>358</v>
      </c>
      <c r="B39" s="94" t="s">
        <v>359</v>
      </c>
      <c r="C39" s="94" t="s">
        <v>360</v>
      </c>
      <c r="D39" s="94" t="s">
        <v>361</v>
      </c>
      <c r="H39" s="249" t="str">
        <f>IF(Tableau3[[#This Row],[Language]]&lt;&gt;"",Tableau3[[#This Row],[Language]]&amp;" - "&amp;Tableau3[[#This Row],[Country]],"")</f>
        <v>English (en) - Philippines (PH)</v>
      </c>
      <c r="I39" s="249" t="s">
        <v>851</v>
      </c>
      <c r="J39" s="94" t="s">
        <v>864</v>
      </c>
      <c r="K39" s="94"/>
      <c r="L39" s="94" t="s">
        <v>778</v>
      </c>
      <c r="M39" s="267" t="s">
        <v>865</v>
      </c>
      <c r="N39" s="261"/>
      <c r="P39" s="293" t="str">
        <f>IF(Table4[[#This Row],[Description]]&lt;&gt;"",Table4[[#This Row],[Time Zone Zone Offset]]&amp;" - "&amp;Table4[[#This Row],[Description]],Table4[[#This Row],[Time Zone Zone Offset]])</f>
        <v>GMT+09:00</v>
      </c>
      <c r="Q39" s="294" t="s">
        <v>1287</v>
      </c>
      <c r="R39" s="294"/>
      <c r="S39" s="295" t="s">
        <v>1288</v>
      </c>
    </row>
    <row r="40" spans="1:19" ht="38.25" x14ac:dyDescent="0.2">
      <c r="A40" s="94" t="s">
        <v>362</v>
      </c>
      <c r="B40" s="94" t="s">
        <v>363</v>
      </c>
      <c r="C40" s="94" t="s">
        <v>364</v>
      </c>
      <c r="D40" s="94" t="s">
        <v>365</v>
      </c>
      <c r="H40" s="249" t="str">
        <f>IF(Tableau3[[#This Row],[Language]]&lt;&gt;"",Tableau3[[#This Row],[Language]]&amp;" - "&amp;Tableau3[[#This Row],[Country]],"")</f>
        <v>English (en) - Singapore (SG)</v>
      </c>
      <c r="I40" s="249" t="s">
        <v>851</v>
      </c>
      <c r="J40" s="94" t="s">
        <v>830</v>
      </c>
      <c r="K40" s="94"/>
      <c r="L40" s="94" t="s">
        <v>778</v>
      </c>
      <c r="M40" s="267" t="s">
        <v>866</v>
      </c>
      <c r="N40" s="261"/>
      <c r="P40" s="293" t="str">
        <f>IF(Table4[[#This Row],[Description]]&lt;&gt;"",Table4[[#This Row],[Time Zone Zone Offset]]&amp;" - "&amp;Table4[[#This Row],[Description]],Table4[[#This Row],[Time Zone Zone Offset]])</f>
        <v>GMT+10:00</v>
      </c>
      <c r="Q40" s="294" t="s">
        <v>1289</v>
      </c>
      <c r="R40" s="294"/>
      <c r="S40" s="295" t="s">
        <v>1290</v>
      </c>
    </row>
    <row r="41" spans="1:19" ht="38.25" x14ac:dyDescent="0.2">
      <c r="A41" s="94" t="s">
        <v>366</v>
      </c>
      <c r="B41" s="94" t="s">
        <v>367</v>
      </c>
      <c r="C41" s="94" t="s">
        <v>367</v>
      </c>
      <c r="D41" s="94" t="s">
        <v>368</v>
      </c>
      <c r="H41" s="249" t="str">
        <f>IF(Tableau3[[#This Row],[Language]]&lt;&gt;"",Tableau3[[#This Row],[Language]]&amp;" - "&amp;Tableau3[[#This Row],[Country]],"")</f>
        <v>English (en) - South Africa (ZA)</v>
      </c>
      <c r="I41" s="249" t="s">
        <v>851</v>
      </c>
      <c r="J41" s="94" t="s">
        <v>867</v>
      </c>
      <c r="K41" s="94"/>
      <c r="L41" s="94" t="s">
        <v>778</v>
      </c>
      <c r="M41" s="94" t="s">
        <v>868</v>
      </c>
      <c r="N41" s="261"/>
      <c r="P41" s="293" t="str">
        <f>IF(Table4[[#This Row],[Description]]&lt;&gt;"",Table4[[#This Row],[Time Zone Zone Offset]]&amp;" - "&amp;Table4[[#This Row],[Description]],Table4[[#This Row],[Time Zone Zone Offset]])</f>
        <v>GMT+11:00</v>
      </c>
      <c r="Q41" s="294" t="s">
        <v>1291</v>
      </c>
      <c r="R41" s="294"/>
      <c r="S41" s="295" t="s">
        <v>1292</v>
      </c>
    </row>
    <row r="42" spans="1:19" ht="51" x14ac:dyDescent="0.2">
      <c r="H42" s="249" t="str">
        <f>IF(Tableau3[[#This Row],[Language]]&lt;&gt;"",Tableau3[[#This Row],[Language]]&amp;" - "&amp;Tableau3[[#This Row],[Country]],"")</f>
        <v>English (en) - United Kingdom (GB)</v>
      </c>
      <c r="I42" s="249" t="s">
        <v>851</v>
      </c>
      <c r="J42" s="94" t="s">
        <v>869</v>
      </c>
      <c r="K42" s="94"/>
      <c r="L42" s="94" t="s">
        <v>778</v>
      </c>
      <c r="M42" s="94" t="s">
        <v>870</v>
      </c>
      <c r="N42" s="261"/>
      <c r="P42" s="293" t="str">
        <f>IF(Table4[[#This Row],[Description]]&lt;&gt;"",Table4[[#This Row],[Time Zone Zone Offset]]&amp;" - "&amp;Table4[[#This Row],[Description]],Table4[[#This Row],[Time Zone Zone Offset]])</f>
        <v>GMT+12:00</v>
      </c>
      <c r="Q42" s="294" t="s">
        <v>1293</v>
      </c>
      <c r="R42" s="294"/>
      <c r="S42" s="295" t="s">
        <v>1294</v>
      </c>
    </row>
    <row r="43" spans="1:19" ht="38.25" x14ac:dyDescent="0.2">
      <c r="H43" s="249" t="str">
        <f>IF(Tableau3[[#This Row],[Language]]&lt;&gt;"",Tableau3[[#This Row],[Language]]&amp;" - "&amp;Tableau3[[#This Row],[Country]],"")</f>
        <v>English (en) - United States (US)</v>
      </c>
      <c r="I43" s="249" t="s">
        <v>851</v>
      </c>
      <c r="J43" s="94" t="s">
        <v>871</v>
      </c>
      <c r="K43" s="94"/>
      <c r="L43" s="94" t="s">
        <v>778</v>
      </c>
      <c r="M43" s="94" t="s">
        <v>872</v>
      </c>
      <c r="N43" s="261"/>
      <c r="P43" s="293" t="str">
        <f>IF(Table4[[#This Row],[Description]]&lt;&gt;"",Table4[[#This Row],[Time Zone Zone Offset]]&amp;" - "&amp;Table4[[#This Row],[Description]],Table4[[#This Row],[Time Zone Zone Offset]])</f>
        <v>GMT-11:00</v>
      </c>
      <c r="Q43" s="294" t="s">
        <v>1295</v>
      </c>
      <c r="R43" s="294"/>
      <c r="S43" s="295" t="s">
        <v>1296</v>
      </c>
    </row>
    <row r="44" spans="1:19" ht="51" x14ac:dyDescent="0.2">
      <c r="H44" s="249" t="str">
        <f>IF(Tableau3[[#This Row],[Language]]&lt;&gt;"",Tableau3[[#This Row],[Language]]&amp;" - "&amp;Tableau3[[#This Row],[Country]],"")</f>
        <v>Estonian (et) - Estonia (EE)</v>
      </c>
      <c r="I44" s="249" t="s">
        <v>873</v>
      </c>
      <c r="J44" s="94" t="s">
        <v>874</v>
      </c>
      <c r="K44" s="94"/>
      <c r="L44" s="94" t="s">
        <v>778</v>
      </c>
      <c r="M44" s="94" t="s">
        <v>875</v>
      </c>
      <c r="N44" s="261"/>
      <c r="P44" s="293" t="str">
        <f>IF(Table4[[#This Row],[Description]]&lt;&gt;"",Table4[[#This Row],[Time Zone Zone Offset]]&amp;" - "&amp;Table4[[#This Row],[Description]],Table4[[#This Row],[Time Zone Zone Offset]])</f>
        <v>GMT-10:00</v>
      </c>
      <c r="Q44" s="294" t="s">
        <v>1297</v>
      </c>
      <c r="R44" s="294"/>
      <c r="S44" s="295" t="s">
        <v>1298</v>
      </c>
    </row>
    <row r="45" spans="1:19" ht="25.5" x14ac:dyDescent="0.2">
      <c r="H45" s="249" t="str">
        <f>IF(Tableau3[[#This Row],[Language]]&lt;&gt;"",Tableau3[[#This Row],[Language]]&amp;" - "&amp;Tableau3[[#This Row],[Country]],"")</f>
        <v>Finnish (fi) - Finland (FI)</v>
      </c>
      <c r="I45" s="249" t="s">
        <v>876</v>
      </c>
      <c r="J45" s="94" t="s">
        <v>877</v>
      </c>
      <c r="K45" s="94"/>
      <c r="L45" s="94" t="s">
        <v>778</v>
      </c>
      <c r="M45" s="94" t="s">
        <v>878</v>
      </c>
      <c r="N45" s="261"/>
      <c r="P45" s="293" t="str">
        <f>IF(Table4[[#This Row],[Description]]&lt;&gt;"",Table4[[#This Row],[Time Zone Zone Offset]]&amp;" - "&amp;Table4[[#This Row],[Description]],Table4[[#This Row],[Time Zone Zone Offset]])</f>
        <v>GMT-09:00</v>
      </c>
      <c r="Q45" s="294" t="s">
        <v>1299</v>
      </c>
      <c r="R45" s="294"/>
      <c r="S45" s="295" t="s">
        <v>1300</v>
      </c>
    </row>
    <row r="46" spans="1:19" ht="38.25" x14ac:dyDescent="0.2">
      <c r="H46" s="249" t="str">
        <f>IF(Tableau3[[#This Row],[Language]]&lt;&gt;"",Tableau3[[#This Row],[Language]]&amp;" - "&amp;Tableau3[[#This Row],[Country]],"")</f>
        <v>French (fr) - Belgium (BE)</v>
      </c>
      <c r="I46" s="249" t="s">
        <v>879</v>
      </c>
      <c r="J46" s="94" t="s">
        <v>847</v>
      </c>
      <c r="K46" s="94"/>
      <c r="L46" s="94" t="s">
        <v>778</v>
      </c>
      <c r="M46" s="94" t="s">
        <v>880</v>
      </c>
      <c r="N46" s="261"/>
      <c r="P46" s="293" t="str">
        <f>IF(Table4[[#This Row],[Description]]&lt;&gt;"",Table4[[#This Row],[Time Zone Zone Offset]]&amp;" - "&amp;Table4[[#This Row],[Description]],Table4[[#This Row],[Time Zone Zone Offset]])</f>
        <v>GMT-08:00</v>
      </c>
      <c r="Q46" s="294" t="s">
        <v>1301</v>
      </c>
      <c r="R46" s="294"/>
      <c r="S46" s="295" t="s">
        <v>1302</v>
      </c>
    </row>
    <row r="47" spans="1:19" ht="38.25" x14ac:dyDescent="0.2">
      <c r="H47" s="249" t="str">
        <f>IF(Tableau3[[#This Row],[Language]]&lt;&gt;"",Tableau3[[#This Row],[Language]]&amp;" - "&amp;Tableau3[[#This Row],[Country]],"")</f>
        <v>French (fr) - Canada (CA)</v>
      </c>
      <c r="I47" s="249" t="s">
        <v>879</v>
      </c>
      <c r="J47" s="94" t="s">
        <v>854</v>
      </c>
      <c r="K47" s="94"/>
      <c r="L47" s="94" t="s">
        <v>778</v>
      </c>
      <c r="M47" s="94" t="s">
        <v>881</v>
      </c>
      <c r="N47" s="261"/>
      <c r="P47" s="293" t="str">
        <f>IF(Table4[[#This Row],[Description]]&lt;&gt;"",Table4[[#This Row],[Time Zone Zone Offset]]&amp;" - "&amp;Table4[[#This Row],[Description]],Table4[[#This Row],[Time Zone Zone Offset]])</f>
        <v>GMT-07:00</v>
      </c>
      <c r="Q47" s="294" t="s">
        <v>1303</v>
      </c>
      <c r="R47" s="294"/>
      <c r="S47" s="295" t="s">
        <v>1245</v>
      </c>
    </row>
    <row r="48" spans="1:19" ht="25.5" x14ac:dyDescent="0.2">
      <c r="H48" s="249" t="str">
        <f>IF(Tableau3[[#This Row],[Language]]&lt;&gt;"",Tableau3[[#This Row],[Language]]&amp;" - "&amp;Tableau3[[#This Row],[Country]],"")</f>
        <v>French (fr) - France (FR)</v>
      </c>
      <c r="I48" s="249" t="s">
        <v>879</v>
      </c>
      <c r="J48" s="94" t="s">
        <v>882</v>
      </c>
      <c r="K48" s="94"/>
      <c r="L48" s="94" t="s">
        <v>778</v>
      </c>
      <c r="M48" s="94" t="s">
        <v>883</v>
      </c>
      <c r="N48" s="261"/>
      <c r="P48" s="293" t="str">
        <f>IF(Table4[[#This Row],[Description]]&lt;&gt;"",Table4[[#This Row],[Time Zone Zone Offset]]&amp;" - "&amp;Table4[[#This Row],[Description]],Table4[[#This Row],[Time Zone Zone Offset]])</f>
        <v>GMT-06:00</v>
      </c>
      <c r="Q48" s="294" t="s">
        <v>1304</v>
      </c>
      <c r="R48" s="294"/>
      <c r="S48" s="295" t="s">
        <v>1305</v>
      </c>
    </row>
    <row r="49" spans="8:19" ht="38.25" x14ac:dyDescent="0.2">
      <c r="H49" s="249" t="str">
        <f>IF(Tableau3[[#This Row],[Language]]&lt;&gt;"",Tableau3[[#This Row],[Language]]&amp;" - "&amp;Tableau3[[#This Row],[Country]],"")</f>
        <v>French (fr) - Luxembourg (LU)</v>
      </c>
      <c r="I49" s="249" t="s">
        <v>879</v>
      </c>
      <c r="J49" s="94" t="s">
        <v>884</v>
      </c>
      <c r="K49" s="94"/>
      <c r="L49" s="94" t="s">
        <v>778</v>
      </c>
      <c r="M49" s="94" t="s">
        <v>885</v>
      </c>
      <c r="N49" s="261"/>
      <c r="P49" s="293" t="str">
        <f>IF(Table4[[#This Row],[Description]]&lt;&gt;"",Table4[[#This Row],[Time Zone Zone Offset]]&amp;" - "&amp;Table4[[#This Row],[Description]],Table4[[#This Row],[Time Zone Zone Offset]])</f>
        <v>GMT-05:00</v>
      </c>
      <c r="Q49" s="294" t="s">
        <v>1306</v>
      </c>
      <c r="R49" s="294"/>
      <c r="S49" s="295" t="s">
        <v>1251</v>
      </c>
    </row>
    <row r="50" spans="8:19" ht="38.25" x14ac:dyDescent="0.2">
      <c r="H50" s="249" t="str">
        <f>IF(Tableau3[[#This Row],[Language]]&lt;&gt;"",Tableau3[[#This Row],[Language]]&amp;" - "&amp;Tableau3[[#This Row],[Country]],"")</f>
        <v>French (fr) - Switzerland (CH)</v>
      </c>
      <c r="I50" s="249" t="s">
        <v>879</v>
      </c>
      <c r="J50" s="94" t="s">
        <v>886</v>
      </c>
      <c r="K50" s="94"/>
      <c r="L50" s="94" t="s">
        <v>778</v>
      </c>
      <c r="M50" s="94" t="s">
        <v>887</v>
      </c>
      <c r="N50" s="261"/>
      <c r="P50" s="293" t="str">
        <f>IF(Table4[[#This Row],[Description]]&lt;&gt;"",Table4[[#This Row],[Time Zone Zone Offset]]&amp;" - "&amp;Table4[[#This Row],[Description]],Table4[[#This Row],[Time Zone Zone Offset]])</f>
        <v>GMT-04:00</v>
      </c>
      <c r="Q50" s="294" t="s">
        <v>1307</v>
      </c>
      <c r="R50" s="294"/>
      <c r="S50" s="295" t="s">
        <v>1308</v>
      </c>
    </row>
    <row r="51" spans="8:19" ht="38.25" x14ac:dyDescent="0.2">
      <c r="H51" s="249" t="str">
        <f>IF(Tableau3[[#This Row],[Language]]&lt;&gt;"",Tableau3[[#This Row],[Language]]&amp;" - "&amp;Tableau3[[#This Row],[Country]],"")</f>
        <v>German (de) - Austria (AT)</v>
      </c>
      <c r="I51" s="249" t="s">
        <v>888</v>
      </c>
      <c r="J51" s="94" t="s">
        <v>889</v>
      </c>
      <c r="K51" s="94"/>
      <c r="L51" s="94" t="s">
        <v>778</v>
      </c>
      <c r="M51" s="94" t="s">
        <v>890</v>
      </c>
      <c r="N51" s="261"/>
      <c r="P51" s="293" t="str">
        <f>IF(Table4[[#This Row],[Description]]&lt;&gt;"",Table4[[#This Row],[Time Zone Zone Offset]]&amp;" - "&amp;Table4[[#This Row],[Description]],Table4[[#This Row],[Time Zone Zone Offset]])</f>
        <v>GMT-03:00</v>
      </c>
      <c r="Q51" s="294" t="s">
        <v>1309</v>
      </c>
      <c r="R51" s="294"/>
      <c r="S51" s="295" t="s">
        <v>1310</v>
      </c>
    </row>
    <row r="52" spans="8:19" ht="38.25" x14ac:dyDescent="0.2">
      <c r="H52" s="249" t="str">
        <f>IF(Tableau3[[#This Row],[Language]]&lt;&gt;"",Tableau3[[#This Row],[Language]]&amp;" - "&amp;Tableau3[[#This Row],[Country]],"")</f>
        <v>German (de) - Germany (DE)</v>
      </c>
      <c r="I52" s="249" t="s">
        <v>888</v>
      </c>
      <c r="J52" s="94" t="s">
        <v>891</v>
      </c>
      <c r="K52" s="94"/>
      <c r="L52" s="94" t="s">
        <v>778</v>
      </c>
      <c r="M52" s="94" t="s">
        <v>892</v>
      </c>
      <c r="N52" s="261"/>
      <c r="P52" s="293" t="str">
        <f>IF(Table4[[#This Row],[Description]]&lt;&gt;"",Table4[[#This Row],[Time Zone Zone Offset]]&amp;" - "&amp;Table4[[#This Row],[Description]],Table4[[#This Row],[Time Zone Zone Offset]])</f>
        <v>GMT-02:00</v>
      </c>
      <c r="Q52" s="294" t="s">
        <v>1311</v>
      </c>
      <c r="R52" s="294"/>
      <c r="S52" s="295" t="s">
        <v>1312</v>
      </c>
    </row>
    <row r="53" spans="8:19" ht="51" x14ac:dyDescent="0.2">
      <c r="H53" s="249" t="str">
        <f>IF(Tableau3[[#This Row],[Language]]&lt;&gt;"",Tableau3[[#This Row],[Language]]&amp;" - "&amp;Tableau3[[#This Row],[Country]],"")</f>
        <v>German (de) - Luxembourg (LU)</v>
      </c>
      <c r="I53" s="249" t="s">
        <v>888</v>
      </c>
      <c r="J53" s="94" t="s">
        <v>884</v>
      </c>
      <c r="K53" s="94"/>
      <c r="L53" s="94" t="s">
        <v>778</v>
      </c>
      <c r="M53" s="94" t="s">
        <v>893</v>
      </c>
      <c r="N53" s="261"/>
      <c r="P53" s="293" t="str">
        <f>IF(Table4[[#This Row],[Description]]&lt;&gt;"",Table4[[#This Row],[Time Zone Zone Offset]]&amp;" - "&amp;Table4[[#This Row],[Description]],Table4[[#This Row],[Time Zone Zone Offset]])</f>
        <v>GMT-01:00</v>
      </c>
      <c r="Q53" s="294" t="s">
        <v>1313</v>
      </c>
      <c r="R53" s="294"/>
      <c r="S53" s="295" t="s">
        <v>1314</v>
      </c>
    </row>
    <row r="54" spans="8:19" ht="51" x14ac:dyDescent="0.2">
      <c r="H54" s="249" t="str">
        <f>IF(Tableau3[[#This Row],[Language]]&lt;&gt;"",Tableau3[[#This Row],[Language]]&amp;" - "&amp;Tableau3[[#This Row],[Country]],"")</f>
        <v>German (de) - Switzerland (CH)</v>
      </c>
      <c r="I54" s="249" t="s">
        <v>888</v>
      </c>
      <c r="J54" s="94" t="s">
        <v>886</v>
      </c>
      <c r="K54" s="94"/>
      <c r="L54" s="94" t="s">
        <v>778</v>
      </c>
      <c r="M54" s="94" t="s">
        <v>894</v>
      </c>
      <c r="N54" s="261"/>
    </row>
    <row r="55" spans="8:19" ht="25.5" x14ac:dyDescent="0.2">
      <c r="H55" s="249" t="str">
        <f>IF(Tableau3[[#This Row],[Language]]&lt;&gt;"",Tableau3[[#This Row],[Language]]&amp;" - "&amp;Tableau3[[#This Row],[Country]],"")</f>
        <v>Greek (el) - Cyprus (CY)</v>
      </c>
      <c r="I55" s="249" t="s">
        <v>895</v>
      </c>
      <c r="J55" s="94" t="s">
        <v>896</v>
      </c>
      <c r="K55" s="94"/>
      <c r="L55" s="94" t="s">
        <v>897</v>
      </c>
      <c r="M55" s="267" t="s">
        <v>898</v>
      </c>
      <c r="N55" s="261"/>
    </row>
    <row r="56" spans="8:19" ht="25.5" x14ac:dyDescent="0.2">
      <c r="H56" s="249" t="str">
        <f>IF(Tableau3[[#This Row],[Language]]&lt;&gt;"",Tableau3[[#This Row],[Language]]&amp;" - "&amp;Tableau3[[#This Row],[Country]],"")</f>
        <v>Greek (el) - Greece (GR)</v>
      </c>
      <c r="I56" s="249" t="s">
        <v>895</v>
      </c>
      <c r="J56" s="94" t="s">
        <v>899</v>
      </c>
      <c r="K56" s="94"/>
      <c r="L56" s="94" t="s">
        <v>897</v>
      </c>
      <c r="M56" s="94" t="s">
        <v>900</v>
      </c>
      <c r="N56" s="261"/>
    </row>
    <row r="57" spans="8:19" ht="25.5" x14ac:dyDescent="0.2">
      <c r="H57" s="249" t="str">
        <f>IF(Tableau3[[#This Row],[Language]]&lt;&gt;"",Tableau3[[#This Row],[Language]]&amp;" - "&amp;Tableau3[[#This Row],[Country]],"")</f>
        <v>Hebrew (iw) - Israel (IL)</v>
      </c>
      <c r="I57" s="249" t="s">
        <v>901</v>
      </c>
      <c r="J57" s="94" t="s">
        <v>902</v>
      </c>
      <c r="K57" s="94"/>
      <c r="L57" s="94" t="s">
        <v>903</v>
      </c>
      <c r="M57" s="94" t="s">
        <v>904</v>
      </c>
      <c r="N57" s="261"/>
    </row>
    <row r="58" spans="8:19" ht="63.75" x14ac:dyDescent="0.2">
      <c r="H58" s="249" t="str">
        <f>IF(Tableau3[[#This Row],[Language]]&lt;&gt;"",Tableau3[[#This Row],[Language]]&amp;" - "&amp;Tableau3[[#This Row],[Country]],"")</f>
        <v>Hindi (hi) - India (IN)</v>
      </c>
      <c r="I58" s="249" t="s">
        <v>905</v>
      </c>
      <c r="J58" s="94" t="s">
        <v>856</v>
      </c>
      <c r="K58" s="94"/>
      <c r="L58" s="94" t="s">
        <v>906</v>
      </c>
      <c r="M58" s="94" t="s">
        <v>907</v>
      </c>
      <c r="N58" s="268" t="s">
        <v>908</v>
      </c>
    </row>
    <row r="59" spans="8:19" ht="51" x14ac:dyDescent="0.2">
      <c r="H59" s="249" t="str">
        <f>IF(Tableau3[[#This Row],[Language]]&lt;&gt;"",Tableau3[[#This Row],[Language]]&amp;" - "&amp;Tableau3[[#This Row],[Country]],"")</f>
        <v>Hungarian (hu) - Hungary (HU)</v>
      </c>
      <c r="I59" s="249" t="s">
        <v>909</v>
      </c>
      <c r="J59" s="94" t="s">
        <v>910</v>
      </c>
      <c r="K59" s="94"/>
      <c r="L59" s="94" t="s">
        <v>778</v>
      </c>
      <c r="M59" s="94" t="s">
        <v>911</v>
      </c>
      <c r="N59" s="261"/>
    </row>
    <row r="60" spans="8:19" ht="25.5" x14ac:dyDescent="0.2">
      <c r="H60" s="249" t="str">
        <f>IF(Tableau3[[#This Row],[Language]]&lt;&gt;"",Tableau3[[#This Row],[Language]]&amp;" - "&amp;Tableau3[[#This Row],[Country]],"")</f>
        <v>Icelandic (is) - Iceland (IS)</v>
      </c>
      <c r="I60" s="249" t="s">
        <v>912</v>
      </c>
      <c r="J60" s="94" t="s">
        <v>913</v>
      </c>
      <c r="K60" s="94"/>
      <c r="L60" s="94" t="s">
        <v>778</v>
      </c>
      <c r="M60" s="94" t="s">
        <v>914</v>
      </c>
      <c r="N60" s="261"/>
    </row>
    <row r="61" spans="8:19" ht="51" x14ac:dyDescent="0.2">
      <c r="H61" s="249" t="str">
        <f>IF(Tableau3[[#This Row],[Language]]&lt;&gt;"",Tableau3[[#This Row],[Language]]&amp;" - "&amp;Tableau3[[#This Row],[Country]],"")</f>
        <v>Indonesian (in) - Indonesia (ID)</v>
      </c>
      <c r="I61" s="249" t="s">
        <v>915</v>
      </c>
      <c r="J61" s="94" t="s">
        <v>916</v>
      </c>
      <c r="K61" s="94"/>
      <c r="L61" s="94" t="s">
        <v>778</v>
      </c>
      <c r="M61" s="267" t="s">
        <v>917</v>
      </c>
      <c r="N61" s="261"/>
    </row>
    <row r="62" spans="8:19" ht="25.5" x14ac:dyDescent="0.2">
      <c r="H62" s="249" t="str">
        <f>IF(Tableau3[[#This Row],[Language]]&lt;&gt;"",Tableau3[[#This Row],[Language]]&amp;" - "&amp;Tableau3[[#This Row],[Country]],"")</f>
        <v>Irish (ga) - Ireland (IE)</v>
      </c>
      <c r="I62" s="249" t="s">
        <v>918</v>
      </c>
      <c r="J62" s="94" t="s">
        <v>858</v>
      </c>
      <c r="K62" s="94"/>
      <c r="L62" s="94" t="s">
        <v>778</v>
      </c>
      <c r="M62" s="267" t="s">
        <v>919</v>
      </c>
      <c r="N62" s="261"/>
    </row>
    <row r="63" spans="8:19" ht="25.5" x14ac:dyDescent="0.2">
      <c r="H63" s="249" t="str">
        <f>IF(Tableau3[[#This Row],[Language]]&lt;&gt;"",Tableau3[[#This Row],[Language]]&amp;" - "&amp;Tableau3[[#This Row],[Country]],"")</f>
        <v>Italian (it) - Italy (IT)</v>
      </c>
      <c r="I63" s="249" t="s">
        <v>920</v>
      </c>
      <c r="J63" s="94" t="s">
        <v>921</v>
      </c>
      <c r="K63" s="94"/>
      <c r="L63" s="94" t="s">
        <v>778</v>
      </c>
      <c r="M63" s="94" t="s">
        <v>922</v>
      </c>
      <c r="N63" s="261"/>
    </row>
    <row r="64" spans="8:19" ht="38.25" x14ac:dyDescent="0.2">
      <c r="H64" s="249" t="str">
        <f>IF(Tableau3[[#This Row],[Language]]&lt;&gt;"",Tableau3[[#This Row],[Language]]&amp;" - "&amp;Tableau3[[#This Row],[Country]],"")</f>
        <v>Italian (it) - Switzerland (CH)</v>
      </c>
      <c r="I64" s="249" t="s">
        <v>920</v>
      </c>
      <c r="J64" s="94" t="s">
        <v>886</v>
      </c>
      <c r="K64" s="94"/>
      <c r="L64" s="94" t="s">
        <v>778</v>
      </c>
      <c r="M64" s="94" t="s">
        <v>923</v>
      </c>
      <c r="N64" s="261"/>
    </row>
    <row r="65" spans="8:14" ht="38.25" x14ac:dyDescent="0.2">
      <c r="H65" s="249" t="str">
        <f>IF(Tableau3[[#This Row],[Language]]&lt;&gt;"",Tableau3[[#This Row],[Language]]&amp;" - "&amp;Tableau3[[#This Row],[Country]],"")</f>
        <v>Japanese (ja) - Japan (JP)</v>
      </c>
      <c r="I65" s="249" t="s">
        <v>924</v>
      </c>
      <c r="J65" s="94" t="s">
        <v>925</v>
      </c>
      <c r="K65" s="94"/>
      <c r="L65" s="94" t="s">
        <v>926</v>
      </c>
      <c r="M65" s="94" t="s">
        <v>927</v>
      </c>
      <c r="N65" s="261"/>
    </row>
    <row r="66" spans="8:14" ht="102" x14ac:dyDescent="0.2">
      <c r="H66" s="249" t="str">
        <f>IF(Tableau3[[#This Row],[Language]]&lt;&gt;"",Tableau3[[#This Row],[Language]]&amp;" - "&amp;Tableau3[[#This Row],[Country]],"")</f>
        <v>Japanese (ja) - Japan (JP)</v>
      </c>
      <c r="I66" s="249" t="s">
        <v>924</v>
      </c>
      <c r="J66" s="94" t="s">
        <v>925</v>
      </c>
      <c r="K66" s="94" t="s">
        <v>928</v>
      </c>
      <c r="L66" s="94" t="s">
        <v>926</v>
      </c>
      <c r="M66" s="94" t="s">
        <v>929</v>
      </c>
      <c r="N66" s="261" t="s">
        <v>930</v>
      </c>
    </row>
    <row r="67" spans="8:14" ht="127.5" x14ac:dyDescent="0.2">
      <c r="H67" s="249" t="str">
        <f>IF(Tableau3[[#This Row],[Language]]&lt;&gt;"",Tableau3[[#This Row],[Language]]&amp;" - "&amp;Tableau3[[#This Row],[Country]],"")</f>
        <v>Japanese (ja) - Japan (JP)</v>
      </c>
      <c r="I67" s="249" t="s">
        <v>924</v>
      </c>
      <c r="J67" s="94" t="s">
        <v>925</v>
      </c>
      <c r="K67" s="94" t="s">
        <v>931</v>
      </c>
      <c r="L67" s="94" t="s">
        <v>926</v>
      </c>
      <c r="M67" s="94" t="s">
        <v>932</v>
      </c>
      <c r="N67" s="261" t="s">
        <v>933</v>
      </c>
    </row>
    <row r="68" spans="8:14" ht="38.25" x14ac:dyDescent="0.2">
      <c r="H68" s="249" t="str">
        <f>IF(Tableau3[[#This Row],[Language]]&lt;&gt;"",Tableau3[[#This Row],[Language]]&amp;" - "&amp;Tableau3[[#This Row],[Country]],"")</f>
        <v>Korean (ko) - South Korea (KR)</v>
      </c>
      <c r="I68" s="249" t="s">
        <v>934</v>
      </c>
      <c r="J68" s="94" t="s">
        <v>935</v>
      </c>
      <c r="K68" s="94"/>
      <c r="L68" s="94" t="s">
        <v>936</v>
      </c>
      <c r="M68" s="94" t="s">
        <v>937</v>
      </c>
      <c r="N68" s="261"/>
    </row>
    <row r="69" spans="8:14" ht="25.5" x14ac:dyDescent="0.2">
      <c r="H69" s="249" t="str">
        <f>IF(Tableau3[[#This Row],[Language]]&lt;&gt;"",Tableau3[[#This Row],[Language]]&amp;" - "&amp;Tableau3[[#This Row],[Country]],"")</f>
        <v>Latvian (lv) - Latvia (LV)</v>
      </c>
      <c r="I69" s="249" t="s">
        <v>938</v>
      </c>
      <c r="J69" s="94" t="s">
        <v>939</v>
      </c>
      <c r="K69" s="94"/>
      <c r="L69" s="94" t="s">
        <v>778</v>
      </c>
      <c r="M69" s="94" t="s">
        <v>940</v>
      </c>
      <c r="N69" s="261"/>
    </row>
    <row r="70" spans="8:14" ht="51" x14ac:dyDescent="0.2">
      <c r="H70" s="249" t="str">
        <f>IF(Tableau3[[#This Row],[Language]]&lt;&gt;"",Tableau3[[#This Row],[Language]]&amp;" - "&amp;Tableau3[[#This Row],[Country]],"")</f>
        <v>Lithuanian (lt) - Lithuania (LT)</v>
      </c>
      <c r="I70" s="249" t="s">
        <v>941</v>
      </c>
      <c r="J70" s="94" t="s">
        <v>942</v>
      </c>
      <c r="K70" s="94"/>
      <c r="L70" s="94" t="s">
        <v>778</v>
      </c>
      <c r="M70" s="94" t="s">
        <v>943</v>
      </c>
      <c r="N70" s="261"/>
    </row>
    <row r="71" spans="8:14" ht="51" x14ac:dyDescent="0.2">
      <c r="H71" s="249" t="str">
        <f>IF(Tableau3[[#This Row],[Language]]&lt;&gt;"",Tableau3[[#This Row],[Language]]&amp;" - "&amp;Tableau3[[#This Row],[Country]],"")</f>
        <v>Macedonian (mk) - Macedonia (MK)</v>
      </c>
      <c r="I71" s="249" t="s">
        <v>944</v>
      </c>
      <c r="J71" s="94" t="s">
        <v>945</v>
      </c>
      <c r="K71" s="94"/>
      <c r="L71" s="94" t="s">
        <v>818</v>
      </c>
      <c r="M71" s="94" t="s">
        <v>946</v>
      </c>
      <c r="N71" s="261"/>
    </row>
    <row r="72" spans="8:14" ht="38.25" x14ac:dyDescent="0.2">
      <c r="H72" s="249" t="str">
        <f>IF(Tableau3[[#This Row],[Language]]&lt;&gt;"",Tableau3[[#This Row],[Language]]&amp;" - "&amp;Tableau3[[#This Row],[Country]],"")</f>
        <v>Malay (ms) - Malaysia (MY)</v>
      </c>
      <c r="I72" s="249" t="s">
        <v>947</v>
      </c>
      <c r="J72" s="94" t="s">
        <v>948</v>
      </c>
      <c r="K72" s="94"/>
      <c r="L72" s="94" t="s">
        <v>778</v>
      </c>
      <c r="M72" s="267" t="s">
        <v>949</v>
      </c>
      <c r="N72" s="261"/>
    </row>
    <row r="73" spans="8:14" ht="25.5" x14ac:dyDescent="0.2">
      <c r="H73" s="249" t="str">
        <f>IF(Tableau3[[#This Row],[Language]]&lt;&gt;"",Tableau3[[#This Row],[Language]]&amp;" - "&amp;Tableau3[[#This Row],[Country]],"")</f>
        <v>Maltese (mt) - Malta (MT)</v>
      </c>
      <c r="I73" s="249" t="s">
        <v>950</v>
      </c>
      <c r="J73" s="94" t="s">
        <v>860</v>
      </c>
      <c r="K73" s="94"/>
      <c r="L73" s="94" t="s">
        <v>778</v>
      </c>
      <c r="M73" s="267" t="s">
        <v>951</v>
      </c>
      <c r="N73" s="261"/>
    </row>
    <row r="74" spans="8:14" ht="51" x14ac:dyDescent="0.2">
      <c r="H74" s="249" t="str">
        <f>IF(Tableau3[[#This Row],[Language]]&lt;&gt;"",Tableau3[[#This Row],[Language]]&amp;" - "&amp;Tableau3[[#This Row],[Country]],"")</f>
        <v>Norwegian (no) - Norway (NO)</v>
      </c>
      <c r="I74" s="249" t="s">
        <v>952</v>
      </c>
      <c r="J74" s="94" t="s">
        <v>953</v>
      </c>
      <c r="K74" s="94"/>
      <c r="L74" s="94" t="s">
        <v>778</v>
      </c>
      <c r="M74" s="94" t="s">
        <v>954</v>
      </c>
      <c r="N74" s="261" t="s">
        <v>955</v>
      </c>
    </row>
    <row r="75" spans="8:14" ht="51" x14ac:dyDescent="0.2">
      <c r="H75" s="249" t="str">
        <f>IF(Tableau3[[#This Row],[Language]]&lt;&gt;"",Tableau3[[#This Row],[Language]]&amp;" - "&amp;Tableau3[[#This Row],[Country]],"")</f>
        <v>Norwegian Bokmål (nb) - Norway (NO)</v>
      </c>
      <c r="I75" s="249" t="s">
        <v>956</v>
      </c>
      <c r="J75" s="94" t="s">
        <v>953</v>
      </c>
      <c r="K75" s="94"/>
      <c r="L75" s="94" t="s">
        <v>778</v>
      </c>
      <c r="M75" s="94" t="s">
        <v>957</v>
      </c>
      <c r="N75" s="261"/>
    </row>
    <row r="76" spans="8:14" ht="63.75" x14ac:dyDescent="0.2">
      <c r="H76" s="249" t="str">
        <f>IF(Tableau3[[#This Row],[Language]]&lt;&gt;"",Tableau3[[#This Row],[Language]]&amp;" - "&amp;Tableau3[[#This Row],[Country]],"")</f>
        <v>Norwegian Nynorsk (nn) - Norway (NO)</v>
      </c>
      <c r="I76" s="249" t="s">
        <v>958</v>
      </c>
      <c r="J76" s="94" t="s">
        <v>953</v>
      </c>
      <c r="K76" s="94"/>
      <c r="L76" s="94" t="s">
        <v>778</v>
      </c>
      <c r="M76" s="94" t="s">
        <v>959</v>
      </c>
      <c r="N76" s="261"/>
    </row>
    <row r="77" spans="8:14" ht="89.25" x14ac:dyDescent="0.2">
      <c r="H77" s="249" t="str">
        <f>IF(Tableau3[[#This Row],[Language]]&lt;&gt;"",Tableau3[[#This Row],[Language]]&amp;" - "&amp;Tableau3[[#This Row],[Country]],"")</f>
        <v>Norwegian (no) - Norway (NO)</v>
      </c>
      <c r="I77" s="249" t="s">
        <v>952</v>
      </c>
      <c r="J77" s="94" t="s">
        <v>953</v>
      </c>
      <c r="K77" s="94" t="s">
        <v>960</v>
      </c>
      <c r="L77" s="94" t="s">
        <v>778</v>
      </c>
      <c r="M77" s="94" t="s">
        <v>961</v>
      </c>
      <c r="N77" s="261" t="s">
        <v>962</v>
      </c>
    </row>
    <row r="78" spans="8:14" ht="25.5" x14ac:dyDescent="0.2">
      <c r="H78" s="249" t="str">
        <f>IF(Tableau3[[#This Row],[Language]]&lt;&gt;"",Tableau3[[#This Row],[Language]]&amp;" - "&amp;Tableau3[[#This Row],[Country]],"")</f>
        <v>Polish (pl) - Poland (PL)</v>
      </c>
      <c r="I78" s="249" t="s">
        <v>963</v>
      </c>
      <c r="J78" s="94" t="s">
        <v>964</v>
      </c>
      <c r="K78" s="94"/>
      <c r="L78" s="94" t="s">
        <v>778</v>
      </c>
      <c r="M78" s="94" t="s">
        <v>965</v>
      </c>
      <c r="N78" s="261"/>
    </row>
    <row r="79" spans="8:14" ht="38.25" x14ac:dyDescent="0.2">
      <c r="H79" s="249" t="str">
        <f>IF(Tableau3[[#This Row],[Language]]&lt;&gt;"",Tableau3[[#This Row],[Language]]&amp;" - "&amp;Tableau3[[#This Row],[Country]],"")</f>
        <v>Portuguese (pt) - Brazil (BR)</v>
      </c>
      <c r="I79" s="249" t="s">
        <v>966</v>
      </c>
      <c r="J79" s="94" t="s">
        <v>967</v>
      </c>
      <c r="K79" s="94"/>
      <c r="L79" s="94" t="s">
        <v>778</v>
      </c>
      <c r="M79" s="267" t="s">
        <v>968</v>
      </c>
      <c r="N79" s="261"/>
    </row>
    <row r="80" spans="8:14" ht="51" x14ac:dyDescent="0.2">
      <c r="H80" s="249" t="str">
        <f>IF(Tableau3[[#This Row],[Language]]&lt;&gt;"",Tableau3[[#This Row],[Language]]&amp;" - "&amp;Tableau3[[#This Row],[Country]],"")</f>
        <v>Portuguese (pt) - Portugal (PT)</v>
      </c>
      <c r="I80" s="249" t="s">
        <v>966</v>
      </c>
      <c r="J80" s="94" t="s">
        <v>969</v>
      </c>
      <c r="K80" s="94"/>
      <c r="L80" s="94" t="s">
        <v>778</v>
      </c>
      <c r="M80" s="267" t="s">
        <v>970</v>
      </c>
      <c r="N80" s="261"/>
    </row>
    <row r="81" spans="8:14" ht="51" x14ac:dyDescent="0.2">
      <c r="H81" s="249" t="str">
        <f>IF(Tableau3[[#This Row],[Language]]&lt;&gt;"",Tableau3[[#This Row],[Language]]&amp;" - "&amp;Tableau3[[#This Row],[Country]],"")</f>
        <v>Romanian (ro) - Romania (RO)</v>
      </c>
      <c r="I81" s="249" t="s">
        <v>971</v>
      </c>
      <c r="J81" s="94" t="s">
        <v>972</v>
      </c>
      <c r="K81" s="94"/>
      <c r="L81" s="94" t="s">
        <v>778</v>
      </c>
      <c r="M81" s="94" t="s">
        <v>973</v>
      </c>
      <c r="N81" s="261"/>
    </row>
    <row r="82" spans="8:14" ht="38.25" x14ac:dyDescent="0.2">
      <c r="H82" s="249" t="str">
        <f>IF(Tableau3[[#This Row],[Language]]&lt;&gt;"",Tableau3[[#This Row],[Language]]&amp;" - "&amp;Tableau3[[#This Row],[Country]],"")</f>
        <v>Russian (ru) - Russia (RU)</v>
      </c>
      <c r="I82" s="249" t="s">
        <v>974</v>
      </c>
      <c r="J82" s="94" t="s">
        <v>975</v>
      </c>
      <c r="K82" s="94"/>
      <c r="L82" s="94" t="s">
        <v>818</v>
      </c>
      <c r="M82" s="94" t="s">
        <v>976</v>
      </c>
      <c r="N82" s="261"/>
    </row>
    <row r="83" spans="8:14" ht="51" x14ac:dyDescent="0.2">
      <c r="H83" s="249" t="str">
        <f>IF(Tableau3[[#This Row],[Language]]&lt;&gt;"",Tableau3[[#This Row],[Language]]&amp;" - "&amp;Tableau3[[#This Row],[Country]],"")</f>
        <v>Serbian (sr) - Bosnia and Herzegovina (BA)</v>
      </c>
      <c r="I83" s="249" t="s">
        <v>977</v>
      </c>
      <c r="J83" s="94" t="s">
        <v>978</v>
      </c>
      <c r="K83" s="94"/>
      <c r="L83" s="94" t="s">
        <v>818</v>
      </c>
      <c r="M83" s="267" t="s">
        <v>979</v>
      </c>
      <c r="N83" s="261"/>
    </row>
    <row r="84" spans="8:14" ht="38.25" x14ac:dyDescent="0.2">
      <c r="H84" s="249" t="str">
        <f>IF(Tableau3[[#This Row],[Language]]&lt;&gt;"",Tableau3[[#This Row],[Language]]&amp;" - "&amp;Tableau3[[#This Row],[Country]],"")</f>
        <v>Serbian (sr) - Montenegro (ME)</v>
      </c>
      <c r="I84" s="249" t="s">
        <v>977</v>
      </c>
      <c r="J84" s="94" t="s">
        <v>980</v>
      </c>
      <c r="K84" s="94"/>
      <c r="L84" s="94" t="s">
        <v>818</v>
      </c>
      <c r="M84" s="267" t="s">
        <v>981</v>
      </c>
      <c r="N84" s="261"/>
    </row>
    <row r="85" spans="8:14" ht="25.5" x14ac:dyDescent="0.2">
      <c r="H85" s="249" t="str">
        <f>IF(Tableau3[[#This Row],[Language]]&lt;&gt;"",Tableau3[[#This Row],[Language]]&amp;" - "&amp;Tableau3[[#This Row],[Country]],"")</f>
        <v>Serbian (sr) - Serbia (RS)</v>
      </c>
      <c r="I85" s="249" t="s">
        <v>977</v>
      </c>
      <c r="J85" s="94" t="s">
        <v>982</v>
      </c>
      <c r="K85" s="94"/>
      <c r="L85" s="94" t="s">
        <v>818</v>
      </c>
      <c r="M85" s="267" t="s">
        <v>983</v>
      </c>
      <c r="N85" s="261"/>
    </row>
    <row r="86" spans="8:14" ht="51" x14ac:dyDescent="0.2">
      <c r="H86" s="249" t="str">
        <f>IF(Tableau3[[#This Row],[Language]]&lt;&gt;"",Tableau3[[#This Row],[Language]]&amp;" - "&amp;Tableau3[[#This Row],[Country]],"")</f>
        <v>Serbian (sr) - Bosnia and Herzegovina (BA)</v>
      </c>
      <c r="I86" s="249" t="s">
        <v>977</v>
      </c>
      <c r="J86" s="94" t="s">
        <v>978</v>
      </c>
      <c r="K86" s="94"/>
      <c r="L86" s="94" t="s">
        <v>984</v>
      </c>
      <c r="M86" s="267" t="s">
        <v>985</v>
      </c>
      <c r="N86" s="261"/>
    </row>
    <row r="87" spans="8:14" ht="38.25" x14ac:dyDescent="0.2">
      <c r="H87" s="249" t="str">
        <f>IF(Tableau3[[#This Row],[Language]]&lt;&gt;"",Tableau3[[#This Row],[Language]]&amp;" - "&amp;Tableau3[[#This Row],[Country]],"")</f>
        <v>Serbian (sr) - Montenegro (ME)</v>
      </c>
      <c r="I87" s="249" t="s">
        <v>977</v>
      </c>
      <c r="J87" s="94" t="s">
        <v>980</v>
      </c>
      <c r="K87" s="94"/>
      <c r="L87" s="94" t="s">
        <v>984</v>
      </c>
      <c r="M87" s="267" t="s">
        <v>986</v>
      </c>
      <c r="N87" s="261"/>
    </row>
    <row r="88" spans="8:14" ht="25.5" x14ac:dyDescent="0.2">
      <c r="H88" s="249" t="str">
        <f>IF(Tableau3[[#This Row],[Language]]&lt;&gt;"",Tableau3[[#This Row],[Language]]&amp;" - "&amp;Tableau3[[#This Row],[Country]],"")</f>
        <v>Serbian (sr) - Serbia (RS)</v>
      </c>
      <c r="I88" s="249" t="s">
        <v>977</v>
      </c>
      <c r="J88" s="94" t="s">
        <v>982</v>
      </c>
      <c r="K88" s="94"/>
      <c r="L88" s="94" t="s">
        <v>984</v>
      </c>
      <c r="M88" s="267" t="s">
        <v>987</v>
      </c>
      <c r="N88" s="261"/>
    </row>
    <row r="89" spans="8:14" ht="38.25" x14ac:dyDescent="0.2">
      <c r="H89" s="249" t="str">
        <f>IF(Tableau3[[#This Row],[Language]]&lt;&gt;"",Tableau3[[#This Row],[Language]]&amp;" - "&amp;Tableau3[[#This Row],[Country]],"")</f>
        <v>Slovak (sk) - Slovakia (SK)</v>
      </c>
      <c r="I89" s="249" t="s">
        <v>988</v>
      </c>
      <c r="J89" s="94" t="s">
        <v>989</v>
      </c>
      <c r="K89" s="94"/>
      <c r="L89" s="94" t="s">
        <v>778</v>
      </c>
      <c r="M89" s="94" t="s">
        <v>990</v>
      </c>
      <c r="N89" s="261"/>
    </row>
    <row r="90" spans="8:14" ht="38.25" x14ac:dyDescent="0.2">
      <c r="H90" s="249" t="str">
        <f>IF(Tableau3[[#This Row],[Language]]&lt;&gt;"",Tableau3[[#This Row],[Language]]&amp;" - "&amp;Tableau3[[#This Row],[Country]],"")</f>
        <v>Slovenian (sl) - Slovenia (SI)</v>
      </c>
      <c r="I90" s="249" t="s">
        <v>991</v>
      </c>
      <c r="J90" s="94" t="s">
        <v>992</v>
      </c>
      <c r="K90" s="94"/>
      <c r="L90" s="94" t="s">
        <v>778</v>
      </c>
      <c r="M90" s="94" t="s">
        <v>993</v>
      </c>
      <c r="N90" s="261"/>
    </row>
    <row r="91" spans="8:14" ht="38.25" x14ac:dyDescent="0.2">
      <c r="H91" s="249" t="str">
        <f>IF(Tableau3[[#This Row],[Language]]&lt;&gt;"",Tableau3[[#This Row],[Language]]&amp;" - "&amp;Tableau3[[#This Row],[Country]],"")</f>
        <v>Spanish (es) - Argentina (AR)</v>
      </c>
      <c r="I91" s="249" t="s">
        <v>994</v>
      </c>
      <c r="J91" s="94" t="s">
        <v>995</v>
      </c>
      <c r="K91" s="94"/>
      <c r="L91" s="94" t="s">
        <v>778</v>
      </c>
      <c r="M91" s="94" t="s">
        <v>996</v>
      </c>
      <c r="N91" s="261"/>
    </row>
    <row r="92" spans="8:14" ht="38.25" x14ac:dyDescent="0.2">
      <c r="H92" s="249" t="str">
        <f>IF(Tableau3[[#This Row],[Language]]&lt;&gt;"",Tableau3[[#This Row],[Language]]&amp;" - "&amp;Tableau3[[#This Row],[Country]],"")</f>
        <v>Spanish (es) - Bolivia (BO)</v>
      </c>
      <c r="I92" s="249" t="s">
        <v>994</v>
      </c>
      <c r="J92" s="94" t="s">
        <v>997</v>
      </c>
      <c r="K92" s="94"/>
      <c r="L92" s="94" t="s">
        <v>778</v>
      </c>
      <c r="M92" s="94" t="s">
        <v>998</v>
      </c>
      <c r="N92" s="261"/>
    </row>
    <row r="93" spans="8:14" ht="25.5" x14ac:dyDescent="0.2">
      <c r="H93" s="249" t="str">
        <f>IF(Tableau3[[#This Row],[Language]]&lt;&gt;"",Tableau3[[#This Row],[Language]]&amp;" - "&amp;Tableau3[[#This Row],[Country]],"")</f>
        <v>Spanish (es) - Chile (CL)</v>
      </c>
      <c r="I93" s="249" t="s">
        <v>994</v>
      </c>
      <c r="J93" s="94" t="s">
        <v>999</v>
      </c>
      <c r="K93" s="94"/>
      <c r="L93" s="94" t="s">
        <v>778</v>
      </c>
      <c r="M93" s="94" t="s">
        <v>1000</v>
      </c>
      <c r="N93" s="261"/>
    </row>
    <row r="94" spans="8:14" ht="38.25" x14ac:dyDescent="0.2">
      <c r="H94" s="249" t="str">
        <f>IF(Tableau3[[#This Row],[Language]]&lt;&gt;"",Tableau3[[#This Row],[Language]]&amp;" - "&amp;Tableau3[[#This Row],[Country]],"")</f>
        <v>Spanish (es) - Colombia (CO)</v>
      </c>
      <c r="I94" s="249" t="s">
        <v>994</v>
      </c>
      <c r="J94" s="94" t="s">
        <v>1001</v>
      </c>
      <c r="K94" s="94"/>
      <c r="L94" s="94" t="s">
        <v>778</v>
      </c>
      <c r="M94" s="94" t="s">
        <v>1002</v>
      </c>
      <c r="N94" s="261"/>
    </row>
    <row r="95" spans="8:14" ht="38.25" x14ac:dyDescent="0.2">
      <c r="H95" s="249" t="str">
        <f>IF(Tableau3[[#This Row],[Language]]&lt;&gt;"",Tableau3[[#This Row],[Language]]&amp;" - "&amp;Tableau3[[#This Row],[Country]],"")</f>
        <v>Spanish (es) - Costa Rica (CR)</v>
      </c>
      <c r="I95" s="249" t="s">
        <v>994</v>
      </c>
      <c r="J95" s="94" t="s">
        <v>1003</v>
      </c>
      <c r="K95" s="94"/>
      <c r="L95" s="94" t="s">
        <v>778</v>
      </c>
      <c r="M95" s="94" t="s">
        <v>1004</v>
      </c>
      <c r="N95" s="261"/>
    </row>
    <row r="96" spans="8:14" ht="51" x14ac:dyDescent="0.2">
      <c r="H96" s="249" t="str">
        <f>IF(Tableau3[[#This Row],[Language]]&lt;&gt;"",Tableau3[[#This Row],[Language]]&amp;" - "&amp;Tableau3[[#This Row],[Country]],"")</f>
        <v>Spanish (es) - Dominican Republic (DO)</v>
      </c>
      <c r="I96" s="249" t="s">
        <v>994</v>
      </c>
      <c r="J96" s="94" t="s">
        <v>1005</v>
      </c>
      <c r="K96" s="94"/>
      <c r="L96" s="94" t="s">
        <v>778</v>
      </c>
      <c r="M96" s="94" t="s">
        <v>1006</v>
      </c>
      <c r="N96" s="261"/>
    </row>
    <row r="97" spans="8:14" ht="38.25" x14ac:dyDescent="0.2">
      <c r="H97" s="249" t="str">
        <f>IF(Tableau3[[#This Row],[Language]]&lt;&gt;"",Tableau3[[#This Row],[Language]]&amp;" - "&amp;Tableau3[[#This Row],[Country]],"")</f>
        <v>Spanish (es) - Ecuador (EC)</v>
      </c>
      <c r="I97" s="249" t="s">
        <v>994</v>
      </c>
      <c r="J97" s="94" t="s">
        <v>1007</v>
      </c>
      <c r="K97" s="94"/>
      <c r="L97" s="94" t="s">
        <v>778</v>
      </c>
      <c r="M97" s="94" t="s">
        <v>1008</v>
      </c>
      <c r="N97" s="261"/>
    </row>
    <row r="98" spans="8:14" ht="38.25" x14ac:dyDescent="0.2">
      <c r="H98" s="249" t="str">
        <f>IF(Tableau3[[#This Row],[Language]]&lt;&gt;"",Tableau3[[#This Row],[Language]]&amp;" - "&amp;Tableau3[[#This Row],[Country]],"")</f>
        <v>Spanish (es) - El Salvador (SV)</v>
      </c>
      <c r="I98" s="249" t="s">
        <v>994</v>
      </c>
      <c r="J98" s="94" t="s">
        <v>1009</v>
      </c>
      <c r="K98" s="94"/>
      <c r="L98" s="94" t="s">
        <v>778</v>
      </c>
      <c r="M98" s="94" t="s">
        <v>1010</v>
      </c>
      <c r="N98" s="261"/>
    </row>
    <row r="99" spans="8:14" ht="38.25" x14ac:dyDescent="0.2">
      <c r="H99" s="249" t="str">
        <f>IF(Tableau3[[#This Row],[Language]]&lt;&gt;"",Tableau3[[#This Row],[Language]]&amp;" - "&amp;Tableau3[[#This Row],[Country]],"")</f>
        <v>Spanish (es) - Guatemala (GT)</v>
      </c>
      <c r="I99" s="249" t="s">
        <v>994</v>
      </c>
      <c r="J99" s="94" t="s">
        <v>1011</v>
      </c>
      <c r="K99" s="94"/>
      <c r="L99" s="94" t="s">
        <v>778</v>
      </c>
      <c r="M99" s="94" t="s">
        <v>1012</v>
      </c>
      <c r="N99" s="261"/>
    </row>
    <row r="100" spans="8:14" ht="38.25" x14ac:dyDescent="0.2">
      <c r="H100" s="249" t="str">
        <f>IF(Tableau3[[#This Row],[Language]]&lt;&gt;"",Tableau3[[#This Row],[Language]]&amp;" - "&amp;Tableau3[[#This Row],[Country]],"")</f>
        <v>Spanish (es) - Honduras (HN)</v>
      </c>
      <c r="I100" s="249" t="s">
        <v>994</v>
      </c>
      <c r="J100" s="94" t="s">
        <v>1013</v>
      </c>
      <c r="K100" s="94"/>
      <c r="L100" s="94" t="s">
        <v>778</v>
      </c>
      <c r="M100" s="94" t="s">
        <v>1014</v>
      </c>
      <c r="N100" s="261"/>
    </row>
    <row r="101" spans="8:14" ht="38.25" x14ac:dyDescent="0.2">
      <c r="H101" s="249" t="str">
        <f>IF(Tableau3[[#This Row],[Language]]&lt;&gt;"",Tableau3[[#This Row],[Language]]&amp;" - "&amp;Tableau3[[#This Row],[Country]],"")</f>
        <v>Spanish (es) - Mexico (MX)</v>
      </c>
      <c r="I101" s="249" t="s">
        <v>994</v>
      </c>
      <c r="J101" s="94" t="s">
        <v>1015</v>
      </c>
      <c r="K101" s="94"/>
      <c r="L101" s="94" t="s">
        <v>778</v>
      </c>
      <c r="M101" s="94" t="s">
        <v>1016</v>
      </c>
      <c r="N101" s="261"/>
    </row>
    <row r="102" spans="8:14" ht="38.25" x14ac:dyDescent="0.2">
      <c r="H102" s="249" t="str">
        <f>IF(Tableau3[[#This Row],[Language]]&lt;&gt;"",Tableau3[[#This Row],[Language]]&amp;" - "&amp;Tableau3[[#This Row],[Country]],"")</f>
        <v>Spanish (es) - Nicaragua (NL)</v>
      </c>
      <c r="I102" s="249" t="s">
        <v>994</v>
      </c>
      <c r="J102" s="94" t="s">
        <v>1017</v>
      </c>
      <c r="K102" s="94"/>
      <c r="L102" s="94" t="s">
        <v>778</v>
      </c>
      <c r="M102" s="94" t="s">
        <v>1018</v>
      </c>
      <c r="N102" s="261"/>
    </row>
    <row r="103" spans="8:14" ht="38.25" x14ac:dyDescent="0.2">
      <c r="H103" s="249" t="str">
        <f>IF(Tableau3[[#This Row],[Language]]&lt;&gt;"",Tableau3[[#This Row],[Language]]&amp;" - "&amp;Tableau3[[#This Row],[Country]],"")</f>
        <v>Spanish (es) - Panama (PA)</v>
      </c>
      <c r="I103" s="249" t="s">
        <v>994</v>
      </c>
      <c r="J103" s="94" t="s">
        <v>1019</v>
      </c>
      <c r="K103" s="94"/>
      <c r="L103" s="94" t="s">
        <v>778</v>
      </c>
      <c r="M103" s="94" t="s">
        <v>1020</v>
      </c>
      <c r="N103" s="261"/>
    </row>
    <row r="104" spans="8:14" ht="38.25" x14ac:dyDescent="0.2">
      <c r="H104" s="249" t="str">
        <f>IF(Tableau3[[#This Row],[Language]]&lt;&gt;"",Tableau3[[#This Row],[Language]]&amp;" - "&amp;Tableau3[[#This Row],[Country]],"")</f>
        <v>Spanish (es) - Paraguay (PY)</v>
      </c>
      <c r="I104" s="249" t="s">
        <v>994</v>
      </c>
      <c r="J104" s="94" t="s">
        <v>1021</v>
      </c>
      <c r="K104" s="94"/>
      <c r="L104" s="94" t="s">
        <v>778</v>
      </c>
      <c r="M104" s="94" t="s">
        <v>1022</v>
      </c>
      <c r="N104" s="261"/>
    </row>
    <row r="105" spans="8:14" ht="25.5" x14ac:dyDescent="0.2">
      <c r="H105" s="249" t="str">
        <f>IF(Tableau3[[#This Row],[Language]]&lt;&gt;"",Tableau3[[#This Row],[Language]]&amp;" - "&amp;Tableau3[[#This Row],[Country]],"")</f>
        <v>Spanish (es) - Peru (PE)</v>
      </c>
      <c r="I105" s="249" t="s">
        <v>994</v>
      </c>
      <c r="J105" s="94" t="s">
        <v>1023</v>
      </c>
      <c r="K105" s="94"/>
      <c r="L105" s="94" t="s">
        <v>778</v>
      </c>
      <c r="M105" s="94" t="s">
        <v>1024</v>
      </c>
      <c r="N105" s="261"/>
    </row>
    <row r="106" spans="8:14" ht="38.25" x14ac:dyDescent="0.2">
      <c r="H106" s="249" t="str">
        <f>IF(Tableau3[[#This Row],[Language]]&lt;&gt;"",Tableau3[[#This Row],[Language]]&amp;" - "&amp;Tableau3[[#This Row],[Country]],"")</f>
        <v>Spanish (es) - Puerto Rico (PR)</v>
      </c>
      <c r="I106" s="249" t="s">
        <v>994</v>
      </c>
      <c r="J106" s="94" t="s">
        <v>1025</v>
      </c>
      <c r="K106" s="94"/>
      <c r="L106" s="94" t="s">
        <v>778</v>
      </c>
      <c r="M106" s="94" t="s">
        <v>1026</v>
      </c>
      <c r="N106" s="261"/>
    </row>
    <row r="107" spans="8:14" ht="25.5" x14ac:dyDescent="0.2">
      <c r="H107" s="249" t="str">
        <f>IF(Tableau3[[#This Row],[Language]]&lt;&gt;"",Tableau3[[#This Row],[Language]]&amp;" - "&amp;Tableau3[[#This Row],[Country]],"")</f>
        <v>Spanish (es) - Spain (ES)</v>
      </c>
      <c r="I107" s="249" t="s">
        <v>994</v>
      </c>
      <c r="J107" s="94" t="s">
        <v>824</v>
      </c>
      <c r="K107" s="94"/>
      <c r="L107" s="94" t="s">
        <v>778</v>
      </c>
      <c r="M107" s="94" t="s">
        <v>1027</v>
      </c>
      <c r="N107" s="261"/>
    </row>
    <row r="108" spans="8:14" ht="38.25" x14ac:dyDescent="0.2">
      <c r="H108" s="249" t="str">
        <f>IF(Tableau3[[#This Row],[Language]]&lt;&gt;"",Tableau3[[#This Row],[Language]]&amp;" - "&amp;Tableau3[[#This Row],[Country]],"")</f>
        <v>Spanish (es) - United States (US)</v>
      </c>
      <c r="I108" s="249" t="s">
        <v>994</v>
      </c>
      <c r="J108" s="94" t="s">
        <v>871</v>
      </c>
      <c r="K108" s="94"/>
      <c r="L108" s="94" t="s">
        <v>778</v>
      </c>
      <c r="M108" s="267" t="s">
        <v>1028</v>
      </c>
      <c r="N108" s="261"/>
    </row>
    <row r="109" spans="8:14" ht="38.25" x14ac:dyDescent="0.2">
      <c r="H109" s="249" t="str">
        <f>IF(Tableau3[[#This Row],[Language]]&lt;&gt;"",Tableau3[[#This Row],[Language]]&amp;" - "&amp;Tableau3[[#This Row],[Country]],"")</f>
        <v>Spanish (es) - Uruguay (UY)</v>
      </c>
      <c r="I109" s="249" t="s">
        <v>994</v>
      </c>
      <c r="J109" s="94" t="s">
        <v>1029</v>
      </c>
      <c r="K109" s="94"/>
      <c r="L109" s="94" t="s">
        <v>778</v>
      </c>
      <c r="M109" s="94" t="s">
        <v>1030</v>
      </c>
      <c r="N109" s="261"/>
    </row>
    <row r="110" spans="8:14" ht="38.25" x14ac:dyDescent="0.2">
      <c r="H110" s="249" t="str">
        <f>IF(Tableau3[[#This Row],[Language]]&lt;&gt;"",Tableau3[[#This Row],[Language]]&amp;" - "&amp;Tableau3[[#This Row],[Country]],"")</f>
        <v>Spanish (es) - Venezuela (VE)</v>
      </c>
      <c r="I110" s="249" t="s">
        <v>994</v>
      </c>
      <c r="J110" s="94" t="s">
        <v>1031</v>
      </c>
      <c r="K110" s="94"/>
      <c r="L110" s="94" t="s">
        <v>778</v>
      </c>
      <c r="M110" s="94" t="s">
        <v>1032</v>
      </c>
      <c r="N110" s="261"/>
    </row>
    <row r="111" spans="8:14" ht="38.25" x14ac:dyDescent="0.2">
      <c r="H111" s="249" t="str">
        <f>IF(Tableau3[[#This Row],[Language]]&lt;&gt;"",Tableau3[[#This Row],[Language]]&amp;" - "&amp;Tableau3[[#This Row],[Country]],"")</f>
        <v>Swedish (sv) - Sweden (SE)</v>
      </c>
      <c r="I111" s="249" t="s">
        <v>1033</v>
      </c>
      <c r="J111" s="94" t="s">
        <v>1034</v>
      </c>
      <c r="K111" s="94"/>
      <c r="L111" s="94" t="s">
        <v>778</v>
      </c>
      <c r="M111" s="94" t="s">
        <v>1035</v>
      </c>
      <c r="N111" s="261"/>
    </row>
    <row r="112" spans="8:14" ht="140.25" x14ac:dyDescent="0.2">
      <c r="H112" s="249" t="str">
        <f>IF(Tableau3[[#This Row],[Language]]&lt;&gt;"",Tableau3[[#This Row],[Language]]&amp;" - "&amp;Tableau3[[#This Row],[Country]],"")</f>
        <v>Thai (th) - Thailand (TH)</v>
      </c>
      <c r="I112" s="249" t="s">
        <v>1036</v>
      </c>
      <c r="J112" s="94" t="s">
        <v>1037</v>
      </c>
      <c r="K112" s="94"/>
      <c r="L112" s="94" t="s">
        <v>1038</v>
      </c>
      <c r="M112" s="94" t="s">
        <v>1039</v>
      </c>
      <c r="N112" s="261" t="s">
        <v>1040</v>
      </c>
    </row>
    <row r="113" spans="8:14" ht="165.75" x14ac:dyDescent="0.2">
      <c r="H113" s="249" t="str">
        <f>IF(Tableau3[[#This Row],[Language]]&lt;&gt;"",Tableau3[[#This Row],[Language]]&amp;" - "&amp;Tableau3[[#This Row],[Country]],"")</f>
        <v>Thai (th) - Thailand (TH)</v>
      </c>
      <c r="I113" s="249" t="s">
        <v>1036</v>
      </c>
      <c r="J113" s="94" t="s">
        <v>1037</v>
      </c>
      <c r="K113" s="94" t="s">
        <v>928</v>
      </c>
      <c r="L113" s="94" t="s">
        <v>1038</v>
      </c>
      <c r="M113" s="94" t="s">
        <v>1041</v>
      </c>
      <c r="N113" s="261" t="s">
        <v>1042</v>
      </c>
    </row>
    <row r="114" spans="8:14" ht="140.25" x14ac:dyDescent="0.2">
      <c r="H114" s="249" t="str">
        <f>IF(Tableau3[[#This Row],[Language]]&lt;&gt;"",Tableau3[[#This Row],[Language]]&amp;" - "&amp;Tableau3[[#This Row],[Country]],"")</f>
        <v>Thai (th) - Thailand (TH)</v>
      </c>
      <c r="I114" s="249" t="s">
        <v>1036</v>
      </c>
      <c r="J114" s="94" t="s">
        <v>1037</v>
      </c>
      <c r="K114" s="94" t="s">
        <v>928</v>
      </c>
      <c r="L114" s="94" t="s">
        <v>1038</v>
      </c>
      <c r="M114" s="94" t="s">
        <v>1043</v>
      </c>
      <c r="N114" s="268" t="s">
        <v>1044</v>
      </c>
    </row>
    <row r="115" spans="8:14" ht="165.75" x14ac:dyDescent="0.2">
      <c r="H115" s="249" t="str">
        <f>IF(Tableau3[[#This Row],[Language]]&lt;&gt;"",Tableau3[[#This Row],[Language]]&amp;" - "&amp;Tableau3[[#This Row],[Country]],"")</f>
        <v>Thai (th) - Thailand (TH)</v>
      </c>
      <c r="I115" s="249" t="s">
        <v>1036</v>
      </c>
      <c r="J115" s="94" t="s">
        <v>1037</v>
      </c>
      <c r="K115" s="94" t="s">
        <v>1045</v>
      </c>
      <c r="L115" s="94" t="s">
        <v>1038</v>
      </c>
      <c r="M115" s="94" t="s">
        <v>1046</v>
      </c>
      <c r="N115" s="268" t="s">
        <v>1047</v>
      </c>
    </row>
    <row r="116" spans="8:14" ht="25.5" x14ac:dyDescent="0.2">
      <c r="H116" s="249" t="str">
        <f>IF(Tableau3[[#This Row],[Language]]&lt;&gt;"",Tableau3[[#This Row],[Language]]&amp;" - "&amp;Tableau3[[#This Row],[Country]],"")</f>
        <v>Turkish (tr) - Turkey (TR)</v>
      </c>
      <c r="I116" s="249" t="s">
        <v>1048</v>
      </c>
      <c r="J116" s="94" t="s">
        <v>1049</v>
      </c>
      <c r="K116" s="94"/>
      <c r="L116" s="94" t="s">
        <v>778</v>
      </c>
      <c r="M116" s="94" t="s">
        <v>1050</v>
      </c>
      <c r="N116" s="261"/>
    </row>
    <row r="117" spans="8:14" ht="51" x14ac:dyDescent="0.2">
      <c r="H117" s="249" t="str">
        <f>IF(Tableau3[[#This Row],[Language]]&lt;&gt;"",Tableau3[[#This Row],[Language]]&amp;" - "&amp;Tableau3[[#This Row],[Country]],"")</f>
        <v>Ukrainian (uk) - Ukraine (UA)</v>
      </c>
      <c r="I117" s="249" t="s">
        <v>1051</v>
      </c>
      <c r="J117" s="94" t="s">
        <v>1052</v>
      </c>
      <c r="K117" s="94"/>
      <c r="L117" s="94" t="s">
        <v>818</v>
      </c>
      <c r="M117" s="94" t="s">
        <v>1053</v>
      </c>
      <c r="N117" s="261"/>
    </row>
    <row r="118" spans="8:14" ht="51" x14ac:dyDescent="0.2">
      <c r="H118" s="249" t="str">
        <f>IF(Tableau3[[#This Row],[Language]]&lt;&gt;"",Tableau3[[#This Row],[Language]]&amp;" - "&amp;Tableau3[[#This Row],[Country]],"")</f>
        <v>Vietnamese (vi) - Vietnam (VN)</v>
      </c>
      <c r="I118" s="257" t="s">
        <v>1054</v>
      </c>
      <c r="J118" s="260" t="s">
        <v>1055</v>
      </c>
      <c r="K118" s="260"/>
      <c r="L118" s="260" t="s">
        <v>778</v>
      </c>
      <c r="M118" s="260" t="s">
        <v>1056</v>
      </c>
      <c r="N118" s="255"/>
    </row>
  </sheetData>
  <hyperlinks>
    <hyperlink ref="M25" r:id="rId1" location="cldrlocale" display="https://www.oracle.com/technetwork/java/javase/java8locales-2095355.html - cldrlocale" xr:uid="{00000000-0004-0000-0500-000000000000}"/>
    <hyperlink ref="M37" r:id="rId2" location="cldrlocale" display="https://www.oracle.com/technetwork/java/javase/java8locales-2095355.html - cldrlocale" xr:uid="{00000000-0004-0000-0500-000001000000}"/>
    <hyperlink ref="M39" r:id="rId3" location="cldrlocale" display="https://www.oracle.com/technetwork/java/javase/java8locales-2095355.html - cldrlocale" xr:uid="{00000000-0004-0000-0500-000002000000}"/>
    <hyperlink ref="M40" r:id="rId4" location="cldrlocale" display="https://www.oracle.com/technetwork/java/javase/java8locales-2095355.html - cldrlocale" xr:uid="{00000000-0004-0000-0500-000003000000}"/>
    <hyperlink ref="M55" r:id="rId5" location="cldrlocale" display="https://www.oracle.com/technetwork/java/javase/java8locales-2095355.html - cldrlocale" xr:uid="{00000000-0004-0000-0500-000004000000}"/>
    <hyperlink ref="N58" r:id="rId6" location="deva" display="https://www.oracle.com/technetwork/java/javase/java8locales-2095355.html - deva" xr:uid="{00000000-0004-0000-0500-000005000000}"/>
    <hyperlink ref="M61" r:id="rId7" location="cldrlocale" display="https://www.oracle.com/technetwork/java/javase/java8locales-2095355.html - cldrlocale" xr:uid="{00000000-0004-0000-0500-000006000000}"/>
    <hyperlink ref="M62" r:id="rId8" location="cldrlocale" display="https://www.oracle.com/technetwork/java/javase/java8locales-2095355.html - cldrlocale" xr:uid="{00000000-0004-0000-0500-000007000000}"/>
    <hyperlink ref="M72" r:id="rId9" location="cldrlocale" display="https://www.oracle.com/technetwork/java/javase/java8locales-2095355.html - cldrlocale" xr:uid="{00000000-0004-0000-0500-000008000000}"/>
    <hyperlink ref="M73" r:id="rId10" location="cldrlocale" display="https://www.oracle.com/technetwork/java/javase/java8locales-2095355.html - cldrlocale" xr:uid="{00000000-0004-0000-0500-000009000000}"/>
    <hyperlink ref="M79" r:id="rId11" location="cldrlocale21" display="https://www.oracle.com/technetwork/java/javase/java8locales-2095355.html - cldrlocale21" xr:uid="{00000000-0004-0000-0500-00000A000000}"/>
    <hyperlink ref="M80" r:id="rId12" location="cldrlocale21" display="https://www.oracle.com/technetwork/java/javase/java8locales-2095355.html - cldrlocale21" xr:uid="{00000000-0004-0000-0500-00000B000000}"/>
    <hyperlink ref="M83" r:id="rId13" location="cldrlocale" display="https://www.oracle.com/technetwork/java/javase/java8locales-2095355.html - cldrlocale" xr:uid="{00000000-0004-0000-0500-00000C000000}"/>
    <hyperlink ref="M84" r:id="rId14" location="cldrlocale" display="https://www.oracle.com/technetwork/java/javase/java8locales-2095355.html - cldrlocale" xr:uid="{00000000-0004-0000-0500-00000D000000}"/>
    <hyperlink ref="M85" r:id="rId15" location="cldrlocale" display="https://www.oracle.com/technetwork/java/javase/java8locales-2095355.html - cldrlocale" xr:uid="{00000000-0004-0000-0500-00000E000000}"/>
    <hyperlink ref="M86" r:id="rId16" location="cldrlocale1_9" display="https://www.oracle.com/technetwork/java/javase/java8locales-2095355.html - cldrlocale1_9" xr:uid="{00000000-0004-0000-0500-00000F000000}"/>
    <hyperlink ref="M87" r:id="rId17" location="cldrlocale1_9" display="https://www.oracle.com/technetwork/java/javase/java8locales-2095355.html - cldrlocale1_9" xr:uid="{00000000-0004-0000-0500-000010000000}"/>
    <hyperlink ref="M88" r:id="rId18" location="cldrlocale1_9" display="https://www.oracle.com/technetwork/java/javase/java8locales-2095355.html - cldrlocale1_9" xr:uid="{00000000-0004-0000-0500-000011000000}"/>
    <hyperlink ref="M108" r:id="rId19" location="cldrlocale" display="https://www.oracle.com/technetwork/java/javase/java8locales-2095355.html - cldrlocale" xr:uid="{00000000-0004-0000-0500-000012000000}"/>
    <hyperlink ref="N114" r:id="rId20" location="thai" display="https://www.oracle.com/technetwork/java/javase/java8locales-2095355.html - thai" xr:uid="{00000000-0004-0000-0500-000013000000}"/>
    <hyperlink ref="N115" r:id="rId21" location="thai" display="https://www.oracle.com/technetwork/java/javase/java8locales-2095355.html - thai" xr:uid="{00000000-0004-0000-0500-000014000000}"/>
  </hyperlinks>
  <pageMargins left="0.7" right="0.7" top="0.75" bottom="0.75" header="0.3" footer="0.3"/>
  <pageSetup paperSize="9" orientation="portrait" r:id="rId22"/>
  <headerFooter>
    <oddFooter>&amp;C&amp;1#&amp;"Helvetica 75 Bold"&amp;8&amp;KED7D31Orange Restricted</oddFooter>
  </headerFooter>
  <tableParts count="4">
    <tablePart r:id="rId23"/>
    <tablePart r:id="rId24"/>
    <tablePart r:id="rId25"/>
    <tablePart r:id="rId26"/>
  </tableParts>
</worksheet>
</file>

<file path=xl/worksheets/sheet1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10">
    <tabColor theme="9"/>
  </sheetPr>
  <dimension ref="A1:CJ504"/>
  <sheetViews>
    <sheetView zoomScaleNormal="100" workbookViewId="0" topLeftCell="A1" tabSelected="false">
      <pane xSplit="2" ySplit="5" topLeftCell="F54" activePane="bottomRight" state="frozen"/>
      <selection activeCell="M28" sqref="M28"/>
      <selection pane="topRight" activeCell="M28" sqref="M28"/>
      <selection pane="bottomLeft" activeCell="M28" sqref="M28"/>
      <selection pane="bottomRight" activeCell="A1" sqref="A1"/>
    </sheetView>
  </sheetViews>
  <sheetFormatPr baseColWidth="10" defaultColWidth="11.42578125" defaultRowHeight="12.75" outlineLevelRow="2" outlineLevelCol="1" x14ac:dyDescent="0.2"/>
  <cols>
    <col min="1" max="1" customWidth="true" style="5" width="3.140625"/>
    <col min="2" max="2" bestFit="true" customWidth="true" style="87" width="41.7109375"/>
    <col min="3" max="3" customWidth="true" style="87" width="38.5703125" outlineLevel="1"/>
    <col min="4" max="4" customWidth="true" style="87" width="33.7109375" outlineLevel="1"/>
    <col min="5" max="5" customWidth="true" style="87" width="30.42578125" outlineLevel="1"/>
    <col min="6" max="6" customWidth="true" style="87" width="37.140625" outlineLevel="1"/>
    <col min="7" max="7" customWidth="true" style="87" width="12.0" outlineLevel="1"/>
    <col min="8" max="8" customWidth="true" style="5" width="15.140625"/>
    <col min="9" max="9" customWidth="true" style="5" width="19.28515625"/>
    <col min="10" max="10" customWidth="true" style="5" width="24.140625" outlineLevel="1"/>
    <col min="11" max="11" customWidth="true" style="5" width="32.140625" outlineLevel="1"/>
    <col min="12" max="12" customWidth="true" style="5" width="29.42578125" outlineLevel="1"/>
    <col min="13" max="13" customWidth="true" style="5" width="31.140625" outlineLevel="1"/>
    <col min="14" max="14" customWidth="true" style="5" width="17.28515625" outlineLevel="1"/>
    <col min="15" max="15" customWidth="true" style="5" width="29.5703125" outlineLevel="1"/>
    <col min="16" max="16" customWidth="true" style="6" width="40.85546875" outlineLevel="1"/>
    <col min="17" max="17" customWidth="true" style="5" width="15.140625"/>
    <col min="18" max="18" customWidth="true" style="5" width="13.140625" outlineLevel="1"/>
    <col min="19" max="19" customWidth="true" style="5" width="14.140625" outlineLevel="1"/>
    <col min="20" max="20" customWidth="true" style="6" width="14.140625" outlineLevel="1"/>
    <col min="21" max="21" customWidth="true" style="5" width="18.28515625" outlineLevel="1"/>
    <col min="22" max="22" customWidth="true" style="5" width="13.140625" outlineLevel="1"/>
    <col min="23" max="23" customWidth="true" style="5" width="18.42578125"/>
    <col min="24" max="24" customWidth="true" style="5" width="13.140625" outlineLevel="1"/>
    <col min="25" max="25" customWidth="true" style="5" width="4.0"/>
    <col min="26" max="26" customWidth="true" style="5" width="3.85546875"/>
    <col min="27" max="28" customWidth="true" style="5" width="11.42578125"/>
    <col min="29" max="29" customWidth="true" style="5" width="7.85546875"/>
    <col min="30" max="16384" style="5" width="11.42578125"/>
  </cols>
  <sheetData>
    <row r="1" spans="1:30" ht="13.5" thickBot="1" x14ac:dyDescent="0.25" customHeight="true">
      <c r="A1" s="56"/>
      <c r="B1" s="72" t="s">
        <v>194</v>
      </c>
      <c r="C1" s="71" t="str">
        <f>"v"&amp;Index!C1</f>
        <v>v16.0</v>
      </c>
      <c r="D1" s="56"/>
      <c r="E1" s="56"/>
      <c r="F1" s="56"/>
      <c r="G1" s="56"/>
      <c r="H1" s="56"/>
      <c r="I1" s="56"/>
      <c r="J1" s="56"/>
      <c r="K1" s="56"/>
      <c r="L1" s="56"/>
      <c r="M1" s="56"/>
      <c r="N1" s="56"/>
      <c r="O1" s="56"/>
      <c r="P1" s="56"/>
      <c r="Q1" s="56"/>
      <c r="R1" s="56"/>
      <c r="S1" s="56"/>
      <c r="T1" s="56"/>
      <c r="U1" s="56"/>
      <c r="V1" s="56"/>
      <c r="W1" s="56"/>
      <c r="X1" s="56"/>
      <c r="Y1" s="56"/>
      <c r="Z1" s="56"/>
      <c r="AA1" s="56"/>
      <c r="AB1" s="56"/>
      <c r="AC1" s="73"/>
    </row>
    <row r="2" spans="1:30" customFormat="1" ht="12.0" customHeight="true" x14ac:dyDescent="0.2">
      <c r="A2" s="444" t="s">
        <v>607</v>
      </c>
      <c r="B2" s="445"/>
      <c r="C2" s="445"/>
      <c r="D2" s="445"/>
      <c r="E2" s="445"/>
      <c r="F2" s="445"/>
      <c r="G2" s="445"/>
      <c r="H2" s="186"/>
      <c r="I2" s="186"/>
      <c r="J2" s="186"/>
      <c r="K2" s="186"/>
      <c r="L2" s="186"/>
      <c r="M2" s="186"/>
      <c r="N2" s="49"/>
      <c r="O2" s="49"/>
      <c r="P2" s="49"/>
      <c r="Q2" s="49"/>
      <c r="R2" s="49"/>
      <c r="S2" s="49"/>
      <c r="T2" s="49"/>
      <c r="U2" s="49"/>
      <c r="V2" s="49"/>
      <c r="W2" s="49"/>
      <c r="X2" s="49"/>
      <c r="Y2" s="49"/>
      <c r="Z2" s="49"/>
      <c r="AA2" s="49"/>
      <c r="AB2" s="49"/>
      <c r="AC2" s="438"/>
      <c r="AD2" s="5"/>
    </row>
    <row r="3" spans="1:30" customFormat="1" ht="34.5" customHeight="true" x14ac:dyDescent="0.2">
      <c r="A3" s="446"/>
      <c r="B3" s="447"/>
      <c r="C3" s="447"/>
      <c r="D3" s="447"/>
      <c r="E3" s="447"/>
      <c r="F3" s="447"/>
      <c r="G3" s="447"/>
      <c r="H3" s="5"/>
      <c r="I3" s="187"/>
      <c r="J3" s="187"/>
      <c r="K3" s="187"/>
      <c r="L3" s="187"/>
      <c r="M3" s="187"/>
      <c r="N3" s="50"/>
      <c r="O3" s="50"/>
      <c r="P3" s="50"/>
      <c r="Q3" s="50"/>
      <c r="R3" s="50"/>
      <c r="S3" s="50"/>
      <c r="T3" s="50"/>
      <c r="U3" s="50"/>
      <c r="V3" s="50"/>
      <c r="W3" s="50"/>
      <c r="X3" s="50"/>
      <c r="Y3" s="50"/>
      <c r="Z3" s="50"/>
      <c r="AA3" s="50"/>
      <c r="AB3" s="50"/>
      <c r="AC3" s="438"/>
      <c r="AD3" s="5"/>
    </row>
    <row r="4" spans="1:30" customFormat="1" ht="3.75" customHeight="true" x14ac:dyDescent="0.2">
      <c r="A4" s="27"/>
      <c r="B4" s="28"/>
      <c r="C4" s="28"/>
      <c r="D4" s="28"/>
      <c r="E4" s="28"/>
      <c r="F4" s="28"/>
      <c r="G4" s="28"/>
      <c r="H4" s="28"/>
      <c r="I4" s="28"/>
      <c r="J4" s="28"/>
      <c r="K4" s="28"/>
      <c r="L4" s="28"/>
      <c r="M4" s="28"/>
      <c r="N4" s="28"/>
      <c r="O4" s="28"/>
      <c r="P4" s="28"/>
      <c r="Q4" s="28"/>
      <c r="R4" s="28"/>
      <c r="S4" s="28"/>
      <c r="T4" s="28"/>
      <c r="U4" s="28"/>
      <c r="V4" s="28"/>
      <c r="W4" s="28"/>
      <c r="X4" s="28"/>
      <c r="Y4" s="28"/>
      <c r="Z4" s="28"/>
      <c r="AA4" s="28"/>
      <c r="AB4" s="28"/>
      <c r="AC4" s="438"/>
      <c r="AD4" s="5"/>
    </row>
    <row r="5" spans="1:30" s="11" customFormat="1" ht="30.75" thickBot="1" x14ac:dyDescent="0.25" customHeight="true">
      <c r="A5" s="207"/>
      <c r="B5" s="286" t="str">
        <f>Document!E12</f>
        <v>DSIEP</v>
      </c>
      <c r="C5" s="208" t="str">
        <f>Document!E13</f>
        <v>Dinamo</v>
      </c>
      <c r="D5" s="439" t="str">
        <f>Document!E14</f>
        <v>29B</v>
      </c>
      <c r="E5" s="439"/>
      <c r="F5" s="441" t="str">
        <f>C17</f>
        <v>BYPASS</v>
      </c>
      <c r="G5" s="441"/>
      <c r="H5" s="441"/>
      <c r="I5" s="441"/>
      <c r="J5" s="441"/>
      <c r="K5" s="209"/>
      <c r="L5" s="209"/>
      <c r="M5" s="440" t="s">
        <v>592</v>
      </c>
      <c r="N5" s="440"/>
      <c r="O5" s="210"/>
      <c r="P5" s="210"/>
      <c r="Q5" s="210"/>
      <c r="R5" s="210"/>
      <c r="S5" s="210"/>
      <c r="T5" s="210"/>
      <c r="U5" s="210"/>
      <c r="V5" s="210"/>
      <c r="W5" s="210"/>
      <c r="X5" s="210"/>
      <c r="Y5" s="210"/>
      <c r="Z5" s="210"/>
      <c r="AA5" s="210"/>
      <c r="AB5" s="210"/>
      <c r="AC5" s="438"/>
    </row>
    <row r="6" spans="1:30" s="16" customFormat="1" ht="13.5" thickBot="1" x14ac:dyDescent="0.25" customHeight="true">
      <c r="A6" s="34"/>
      <c r="B6" s="35"/>
      <c r="C6" s="138"/>
      <c r="D6" s="35"/>
      <c r="E6" s="35"/>
      <c r="F6" s="35"/>
      <c r="G6" s="35"/>
      <c r="H6" s="35"/>
      <c r="I6" s="35"/>
      <c r="J6" s="35"/>
      <c r="K6" s="36"/>
      <c r="L6" s="36"/>
      <c r="M6" s="57"/>
      <c r="N6" s="57"/>
      <c r="O6" s="57"/>
      <c r="P6" s="57"/>
      <c r="Q6" s="57"/>
      <c r="R6" s="57"/>
      <c r="S6" s="57"/>
      <c r="T6" s="57"/>
      <c r="U6" s="57"/>
      <c r="V6" s="57"/>
      <c r="W6" s="57"/>
      <c r="X6" s="57"/>
      <c r="Y6" s="57"/>
      <c r="Z6" s="57"/>
      <c r="AA6" s="57"/>
      <c r="AB6" s="57"/>
      <c r="AC6" s="74"/>
    </row>
    <row r="7" spans="1:30" s="15" customFormat="1" ht="7.5" customHeight="true" collapsed="1" x14ac:dyDescent="0.2">
      <c r="A7" s="18"/>
      <c r="B7" s="18"/>
      <c r="C7" s="18"/>
      <c r="D7" s="18"/>
      <c r="E7" s="18"/>
      <c r="F7" s="18"/>
      <c r="G7" s="18"/>
      <c r="H7" s="18"/>
      <c r="I7" s="18"/>
      <c r="J7" s="18"/>
      <c r="K7" s="18"/>
      <c r="L7" s="18"/>
      <c r="M7" s="20"/>
      <c r="N7" s="20"/>
      <c r="O7" s="20"/>
      <c r="P7" s="20"/>
      <c r="Q7" s="20"/>
      <c r="R7" s="20"/>
      <c r="S7" s="20"/>
      <c r="T7" s="20"/>
      <c r="U7" s="20"/>
      <c r="V7" s="20"/>
      <c r="W7" s="20"/>
      <c r="X7" s="20"/>
      <c r="Y7" s="20"/>
      <c r="Z7" s="20"/>
      <c r="AA7" s="20"/>
      <c r="AB7" s="20"/>
      <c r="AC7" s="58"/>
    </row>
    <row r="8" spans="1:30" s="15" customFormat="1" ht="24.0" customHeight="true" x14ac:dyDescent="0.3">
      <c r="A8" s="51" t="s">
        <v>614</v>
      </c>
      <c r="B8" s="52"/>
      <c r="C8" s="52"/>
      <c r="D8" s="52"/>
      <c r="E8" s="52"/>
      <c r="F8" s="52"/>
      <c r="G8" s="52"/>
      <c r="H8" s="52"/>
      <c r="I8" s="52"/>
      <c r="J8" s="52"/>
      <c r="K8" s="52"/>
      <c r="L8" s="33"/>
      <c r="M8" s="33"/>
      <c r="N8" s="33"/>
      <c r="O8" s="33"/>
      <c r="P8" s="33"/>
      <c r="Q8" s="33"/>
      <c r="R8" s="33"/>
      <c r="S8" s="33"/>
      <c r="T8" s="33"/>
      <c r="U8" s="33"/>
      <c r="V8" s="33"/>
      <c r="W8" s="33"/>
      <c r="X8" s="33"/>
      <c r="Y8" s="33"/>
      <c r="Z8" s="33"/>
      <c r="AA8" s="33"/>
      <c r="AB8" s="59"/>
    </row>
    <row r="9" spans="1:30" s="19" customFormat="1" ht="12.0" thickBot="1" x14ac:dyDescent="0.25" customHeight="true">
      <c r="A9" s="75" t="n">
        <v>0.0</v>
      </c>
      <c r="B9" s="75" t="n">
        <v>1.0</v>
      </c>
      <c r="C9" s="75" t="n">
        <v>2.0</v>
      </c>
      <c r="D9" s="75" t="n">
        <v>3.0</v>
      </c>
      <c r="E9" s="75" t="n">
        <v>4.0</v>
      </c>
      <c r="F9" s="75" t="n">
        <v>5.0</v>
      </c>
      <c r="G9" s="75" t="n">
        <v>6.0</v>
      </c>
      <c r="H9" s="75" t="n">
        <v>7.0</v>
      </c>
      <c r="I9" s="75" t="n">
        <v>8.0</v>
      </c>
      <c r="J9" s="75" t="n">
        <v>9.0</v>
      </c>
      <c r="K9" s="75" t="n">
        <v>10.0</v>
      </c>
      <c r="L9" s="75" t="n">
        <v>11.0</v>
      </c>
      <c r="M9" s="75" t="n">
        <v>12.0</v>
      </c>
      <c r="N9" s="75" t="n">
        <v>13.0</v>
      </c>
      <c r="O9" s="75" t="n">
        <v>14.0</v>
      </c>
      <c r="P9" s="75" t="n">
        <v>15.0</v>
      </c>
      <c r="Q9" s="75" t="n">
        <v>16.0</v>
      </c>
      <c r="R9" s="75" t="n">
        <v>17.0</v>
      </c>
      <c r="S9" s="75" t="n">
        <v>18.0</v>
      </c>
      <c r="T9" s="75" t="n">
        <v>19.0</v>
      </c>
      <c r="U9" s="75" t="n">
        <v>20.0</v>
      </c>
      <c r="V9" s="75" t="n">
        <v>21.0</v>
      </c>
      <c r="W9" s="75" t="n">
        <v>22.0</v>
      </c>
      <c r="X9" s="75" t="n">
        <v>21.0</v>
      </c>
      <c r="Y9" s="75">
        <v>24</v>
      </c>
      <c r="Z9" s="75">
        <v>25</v>
      </c>
      <c r="AA9" s="75">
        <v>26</v>
      </c>
      <c r="AB9" s="75">
        <v>27</v>
      </c>
      <c r="AC9" s="75">
        <v>28</v>
      </c>
    </row>
    <row r="10" spans="1:30" s="15" customFormat="1" ht="10.5" customHeight="true" x14ac:dyDescent="0.2">
      <c r="A10" s="18"/>
      <c r="B10" s="18"/>
      <c r="C10" s="18"/>
      <c r="D10" s="18"/>
      <c r="E10" s="18"/>
      <c r="F10" s="18"/>
      <c r="G10" s="18"/>
      <c r="H10" s="18"/>
      <c r="I10" s="18"/>
      <c r="J10" s="18"/>
      <c r="K10" s="18"/>
      <c r="L10" s="18"/>
      <c r="M10" s="20"/>
      <c r="N10" s="20"/>
      <c r="O10" s="20"/>
      <c r="P10" s="20"/>
      <c r="Q10" s="20"/>
      <c r="R10" s="20"/>
      <c r="S10" s="20"/>
      <c r="T10" s="20"/>
      <c r="U10" s="20"/>
      <c r="V10" s="20"/>
      <c r="W10" s="20"/>
      <c r="X10" s="20"/>
      <c r="Y10" s="20"/>
      <c r="Z10" s="20"/>
      <c r="AA10" s="20"/>
      <c r="AB10" s="20"/>
      <c r="AC10" s="58"/>
    </row>
    <row r="11" spans="1:30" s="15" customFormat="1" ht="24.0" customHeight="true" x14ac:dyDescent="0.3">
      <c r="A11" s="51" t="s">
        <v>70</v>
      </c>
      <c r="B11" s="52"/>
      <c r="C11" s="52"/>
      <c r="D11" s="52"/>
      <c r="E11" s="52"/>
      <c r="F11" s="52"/>
      <c r="G11" s="52"/>
      <c r="H11" s="52"/>
      <c r="I11" s="52"/>
      <c r="J11" s="52"/>
      <c r="K11" s="52"/>
      <c r="L11" s="52"/>
      <c r="M11" s="33"/>
      <c r="N11" s="33"/>
      <c r="O11" s="33"/>
      <c r="P11" s="33"/>
      <c r="Q11" s="33"/>
      <c r="R11" s="33"/>
      <c r="S11" s="33"/>
      <c r="T11" s="33"/>
      <c r="U11" s="33"/>
      <c r="V11" s="33"/>
      <c r="W11" s="33"/>
      <c r="X11" s="33"/>
      <c r="Y11" s="33"/>
      <c r="Z11" s="33"/>
      <c r="AA11" s="33"/>
      <c r="AB11" s="33"/>
      <c r="AC11" s="59"/>
    </row>
    <row r="12" spans="1:30" s="19" customFormat="1" ht="12.0" thickBot="1" x14ac:dyDescent="0.25" customHeight="true">
      <c r="A12" s="75" t="n">
        <v>0.0</v>
      </c>
      <c r="B12" s="75" t="n">
        <v>1.0</v>
      </c>
      <c r="C12" s="75" t="n">
        <v>2.0</v>
      </c>
      <c r="D12" s="75" t="n">
        <v>3.0</v>
      </c>
      <c r="E12" s="75" t="n">
        <v>4.0</v>
      </c>
      <c r="F12" s="75" t="n">
        <v>5.0</v>
      </c>
      <c r="G12" s="75" t="n">
        <v>6.0</v>
      </c>
      <c r="H12" s="75" t="n">
        <v>7.0</v>
      </c>
      <c r="I12" s="75" t="n">
        <v>8.0</v>
      </c>
      <c r="J12" s="75" t="n">
        <v>9.0</v>
      </c>
      <c r="K12" s="75" t="n">
        <v>10.0</v>
      </c>
      <c r="L12" s="75" t="n">
        <v>11.0</v>
      </c>
      <c r="M12" s="75" t="n">
        <v>12.0</v>
      </c>
      <c r="N12" s="75" t="n">
        <v>13.0</v>
      </c>
      <c r="O12" s="75" t="n">
        <v>14.0</v>
      </c>
      <c r="P12" s="75" t="n">
        <v>15.0</v>
      </c>
      <c r="Q12" s="75" t="n">
        <v>16.0</v>
      </c>
      <c r="R12" s="75" t="n">
        <v>17.0</v>
      </c>
      <c r="S12" s="75" t="n">
        <v>18.0</v>
      </c>
      <c r="T12" s="75" t="n">
        <v>19.0</v>
      </c>
      <c r="U12" s="75" t="n">
        <v>20.0</v>
      </c>
      <c r="V12" s="75" t="n">
        <v>21.0</v>
      </c>
      <c r="W12" s="75" t="n">
        <v>22.0</v>
      </c>
      <c r="X12" s="75" t="n">
        <v>21.0</v>
      </c>
      <c r="Y12" s="75">
        <v>24</v>
      </c>
      <c r="Z12" s="75">
        <v>25</v>
      </c>
      <c r="AA12" s="75">
        <v>26</v>
      </c>
      <c r="AB12" s="75">
        <v>27</v>
      </c>
      <c r="AC12" s="75">
        <v>28</v>
      </c>
    </row>
    <row r="13" spans="1:30" s="188" customFormat="1" ht="7.5" customHeight="true" outlineLevel="1" thickBot="1" x14ac:dyDescent="0.25">
      <c r="A13" s="173"/>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row>
    <row r="14" spans="1:30" s="188" customFormat="1" ht="22.5" customHeight="true" outlineLevel="1" x14ac:dyDescent="0.2">
      <c r="A14" s="20"/>
      <c r="B14" s="157" t="s">
        <v>601</v>
      </c>
      <c r="C14" s="216"/>
      <c r="D14" s="18"/>
      <c r="E14" s="194" t="s">
        <v>68</v>
      </c>
      <c r="F14" s="195"/>
      <c r="G14" s="20"/>
      <c r="H14" s="168" t="s">
        <v>554</v>
      </c>
      <c r="I14" s="442"/>
      <c r="J14" s="442"/>
      <c r="K14" s="18"/>
      <c r="L14" s="18"/>
      <c r="M14" s="18"/>
      <c r="N14" s="18"/>
      <c r="O14" s="18"/>
      <c r="P14" s="18"/>
      <c r="Q14" s="18"/>
      <c r="R14" s="18"/>
      <c r="S14" s="18"/>
      <c r="T14" s="18"/>
      <c r="U14" s="18"/>
      <c r="V14" s="18"/>
      <c r="W14" s="18"/>
      <c r="X14" s="18"/>
      <c r="Y14" s="18"/>
      <c r="Z14" s="18"/>
      <c r="AA14" s="18"/>
      <c r="AB14" s="18"/>
      <c r="AC14" s="18"/>
    </row>
    <row r="15" spans="1:30" s="188" customFormat="1" ht="22.5" customHeight="true" outlineLevel="1" x14ac:dyDescent="0.2">
      <c r="A15" s="20"/>
      <c r="B15" s="192" t="s">
        <v>72</v>
      </c>
      <c r="C15" s="196" t="s">
        <v>498</v>
      </c>
      <c r="D15" s="20"/>
      <c r="E15" s="155" t="s">
        <v>581</v>
      </c>
      <c r="F15" s="218" t="s">
        <v>1394</v>
      </c>
      <c r="G15" s="20"/>
      <c r="H15" s="20"/>
      <c r="I15" s="443"/>
      <c r="J15" s="443"/>
      <c r="K15" s="20"/>
      <c r="L15" s="20"/>
      <c r="M15" s="20"/>
      <c r="N15" s="20"/>
      <c r="O15" s="20"/>
      <c r="P15" s="20"/>
      <c r="Q15" s="20"/>
      <c r="R15" s="20"/>
      <c r="S15" s="20"/>
      <c r="T15" s="20"/>
      <c r="U15" s="20"/>
      <c r="V15" s="20"/>
      <c r="W15" s="20"/>
      <c r="X15" s="20"/>
      <c r="Y15" s="20"/>
      <c r="Z15" s="20"/>
      <c r="AA15" s="20"/>
      <c r="AB15" s="20"/>
      <c r="AC15" s="20"/>
    </row>
    <row r="16" spans="1:30" s="188" customFormat="1" ht="22.5" customHeight="true" outlineLevel="1" x14ac:dyDescent="0.2">
      <c r="A16" s="20"/>
      <c r="B16" s="192" t="s">
        <v>71</v>
      </c>
      <c r="C16" s="196" t="str">
        <f>Document!E14</f>
        <v>29B</v>
      </c>
      <c r="D16" s="20"/>
      <c r="E16" s="155" t="s">
        <v>580</v>
      </c>
      <c r="F16" s="273" t="s">
        <v>1395</v>
      </c>
      <c r="G16" s="20"/>
      <c r="H16" s="20"/>
      <c r="I16" s="443"/>
      <c r="J16" s="443"/>
      <c r="K16" s="20"/>
      <c r="L16" s="20"/>
      <c r="M16" s="20"/>
      <c r="N16" s="20"/>
      <c r="O16" s="20"/>
      <c r="P16" s="20"/>
      <c r="Q16" s="20"/>
      <c r="R16" s="20"/>
      <c r="S16" s="20"/>
      <c r="T16" s="20"/>
      <c r="U16" s="20"/>
      <c r="V16" s="20"/>
      <c r="W16" s="20"/>
      <c r="X16" s="20"/>
      <c r="Y16" s="20"/>
      <c r="Z16" s="20"/>
      <c r="AA16" s="20"/>
      <c r="AB16" s="20"/>
      <c r="AC16" s="20"/>
    </row>
    <row r="17" spans="1:29" s="188" customFormat="1" ht="22.5" customHeight="true" outlineLevel="1" x14ac:dyDescent="0.2">
      <c r="A17" s="20"/>
      <c r="B17" s="192" t="s">
        <v>76</v>
      </c>
      <c r="C17" s="196" t="s">
        <v>1377</v>
      </c>
      <c r="D17" s="20"/>
      <c r="E17" s="155" t="s">
        <v>532</v>
      </c>
      <c r="F17" s="229"/>
      <c r="G17" s="20"/>
      <c r="H17" s="20"/>
      <c r="I17" s="443"/>
      <c r="J17" s="443"/>
      <c r="K17" s="20"/>
      <c r="L17" s="20"/>
      <c r="M17" s="20"/>
      <c r="N17" s="20"/>
      <c r="O17" s="20"/>
      <c r="P17" s="20"/>
      <c r="Q17" s="20"/>
      <c r="R17" s="20"/>
      <c r="S17" s="20"/>
      <c r="T17" s="20"/>
      <c r="U17" s="20"/>
      <c r="V17" s="20"/>
      <c r="W17" s="20"/>
      <c r="X17" s="20"/>
      <c r="Y17" s="20"/>
      <c r="Z17" s="20"/>
      <c r="AA17" s="20"/>
      <c r="AB17" s="20"/>
      <c r="AC17" s="20"/>
    </row>
    <row r="18" spans="1:29" s="188" customFormat="1" ht="22.5" customHeight="true" outlineLevel="1" x14ac:dyDescent="0.2">
      <c r="A18" s="173"/>
      <c r="B18" s="192" t="s">
        <v>32</v>
      </c>
      <c r="C18" s="196" t="s">
        <v>1378</v>
      </c>
      <c r="D18" s="20"/>
      <c r="E18" s="155" t="s">
        <v>63</v>
      </c>
      <c r="F18" s="230" t="s">
        <v>1389</v>
      </c>
      <c r="G18" s="20"/>
      <c r="H18" s="20"/>
      <c r="I18" s="443"/>
      <c r="J18" s="443"/>
      <c r="K18" s="20"/>
      <c r="L18" s="20"/>
      <c r="M18" s="20"/>
      <c r="N18" s="20"/>
      <c r="O18" s="20"/>
      <c r="P18" s="20"/>
      <c r="Q18" s="20"/>
      <c r="R18" s="20"/>
      <c r="S18" s="20"/>
      <c r="T18" s="20"/>
      <c r="U18" s="20"/>
      <c r="V18" s="20"/>
      <c r="W18" s="20"/>
      <c r="X18" s="20"/>
      <c r="Y18" s="20"/>
      <c r="Z18" s="20"/>
      <c r="AA18" s="20"/>
      <c r="AB18" s="20"/>
      <c r="AC18" s="20"/>
    </row>
    <row r="19" spans="1:29" s="188" customFormat="1" ht="22.5" customHeight="true" outlineLevel="1" x14ac:dyDescent="0.2">
      <c r="A19" s="173"/>
      <c r="B19" s="168" t="s">
        <v>599</v>
      </c>
      <c r="C19" s="196" t="s">
        <v>1379</v>
      </c>
      <c r="D19" s="193"/>
      <c r="E19" s="155" t="s">
        <v>64</v>
      </c>
      <c r="F19" s="230" t="s">
        <v>1389</v>
      </c>
      <c r="G19" s="20"/>
      <c r="H19" s="20"/>
      <c r="I19" s="443"/>
      <c r="J19" s="443"/>
      <c r="K19" s="20"/>
      <c r="L19" s="20"/>
      <c r="M19" s="20"/>
      <c r="N19" s="20"/>
      <c r="O19" s="20"/>
      <c r="P19" s="20"/>
      <c r="Q19" s="20"/>
      <c r="R19" s="20"/>
      <c r="S19" s="20"/>
      <c r="T19" s="20"/>
      <c r="U19" s="20"/>
      <c r="V19" s="20"/>
      <c r="W19" s="20"/>
      <c r="X19" s="20"/>
      <c r="Y19" s="20"/>
      <c r="Z19" s="20"/>
      <c r="AA19" s="20"/>
      <c r="AB19" s="20"/>
      <c r="AC19" s="20"/>
    </row>
    <row r="20" spans="1:29" s="188" customFormat="1" ht="18.0" outlineLevel="1" x14ac:dyDescent="0.2" customHeight="true">
      <c r="A20" s="173"/>
      <c r="B20" s="168" t="s">
        <v>602</v>
      </c>
      <c r="C20" s="196"/>
      <c r="D20" s="193"/>
      <c r="E20" s="155"/>
      <c r="F20" s="231" t="s">
        <v>1379</v>
      </c>
      <c r="G20" s="20"/>
      <c r="H20" s="20"/>
      <c r="I20" s="443"/>
      <c r="J20" s="443"/>
      <c r="K20" s="20"/>
      <c r="L20" s="20"/>
      <c r="M20" s="20"/>
      <c r="N20" s="20"/>
      <c r="O20" s="20"/>
      <c r="P20" s="20"/>
      <c r="Q20" s="20"/>
      <c r="R20" s="20"/>
      <c r="S20" s="20"/>
      <c r="T20" s="20"/>
      <c r="U20" s="20"/>
      <c r="V20" s="20"/>
      <c r="W20" s="20"/>
      <c r="X20" s="20"/>
      <c r="Y20" s="20"/>
      <c r="Z20" s="20"/>
      <c r="AA20" s="20"/>
      <c r="AB20" s="20"/>
      <c r="AC20" s="20"/>
    </row>
    <row r="21" spans="1:29" s="188" customFormat="1" ht="18.75" outlineLevel="1" thickBot="1" x14ac:dyDescent="0.25" customHeight="true">
      <c r="A21" s="173"/>
      <c r="B21" s="168" t="s">
        <v>33</v>
      </c>
      <c r="C21" s="196"/>
      <c r="D21" s="193"/>
      <c r="E21" s="156" t="s">
        <v>608</v>
      </c>
      <c r="F21" s="232"/>
      <c r="G21" s="20"/>
      <c r="H21" s="20"/>
      <c r="I21" s="443"/>
      <c r="J21" s="443"/>
      <c r="K21" s="20"/>
      <c r="L21" s="20"/>
      <c r="M21" s="20"/>
      <c r="N21" s="20"/>
      <c r="O21" s="20"/>
      <c r="P21" s="20"/>
      <c r="Q21" s="20"/>
      <c r="R21" s="20"/>
      <c r="S21" s="20"/>
      <c r="T21" s="20"/>
      <c r="U21" s="20"/>
      <c r="V21" s="20"/>
      <c r="W21" s="20"/>
      <c r="X21" s="20"/>
      <c r="Y21" s="20"/>
      <c r="Z21" s="20"/>
      <c r="AA21" s="20"/>
      <c r="AB21" s="20"/>
      <c r="AC21" s="20"/>
    </row>
    <row r="22" spans="1:29" s="188" customFormat="1" ht="18.0" outlineLevel="1" x14ac:dyDescent="0.2" customHeight="true">
      <c r="A22" s="173"/>
      <c r="B22" s="168" t="s">
        <v>511</v>
      </c>
      <c r="C22" s="196"/>
      <c r="D22" s="193"/>
      <c r="E22" s="20"/>
      <c r="F22" s="20"/>
      <c r="G22" s="20"/>
      <c r="H22" s="20"/>
      <c r="I22" s="443"/>
      <c r="J22" s="443"/>
      <c r="K22" s="20"/>
      <c r="L22" s="20"/>
      <c r="M22" s="20"/>
      <c r="N22" s="20"/>
      <c r="O22" s="20"/>
      <c r="P22" s="20"/>
      <c r="Q22" s="20"/>
      <c r="R22" s="20"/>
      <c r="S22" s="20"/>
      <c r="T22" s="20"/>
      <c r="U22" s="20"/>
      <c r="V22" s="20"/>
      <c r="W22" s="20"/>
      <c r="X22" s="20"/>
      <c r="Y22" s="20"/>
      <c r="Z22" s="20"/>
      <c r="AA22" s="20"/>
      <c r="AB22" s="20"/>
      <c r="AC22" s="20"/>
    </row>
    <row r="23" spans="1:29" s="188" customFormat="1" ht="18.75" outlineLevel="1" thickBot="1" x14ac:dyDescent="0.25" customHeight="true">
      <c r="A23" s="173"/>
      <c r="B23" s="168" t="s">
        <v>67</v>
      </c>
      <c r="C23" s="196" t="s">
        <v>1380</v>
      </c>
      <c r="D23" s="193"/>
      <c r="E23" s="20"/>
      <c r="F23" s="20"/>
      <c r="G23" s="20"/>
      <c r="H23" s="20"/>
      <c r="I23" s="443"/>
      <c r="J23" s="443"/>
      <c r="K23" s="20"/>
      <c r="L23" s="20"/>
      <c r="M23" s="20"/>
      <c r="N23" s="20"/>
      <c r="O23" s="20"/>
      <c r="P23" s="20"/>
      <c r="Q23" s="20"/>
      <c r="R23" s="20"/>
      <c r="S23" s="20"/>
      <c r="T23" s="20"/>
      <c r="U23" s="20"/>
      <c r="V23" s="20"/>
      <c r="W23" s="20"/>
      <c r="X23" s="20"/>
      <c r="Y23" s="20"/>
      <c r="Z23" s="20"/>
      <c r="AA23" s="20"/>
      <c r="AB23" s="20"/>
      <c r="AC23" s="20"/>
    </row>
    <row r="24" spans="1:29" s="188" customFormat="1" ht="15.0" customHeight="true" outlineLevel="1" x14ac:dyDescent="0.2">
      <c r="A24" s="173"/>
      <c r="B24" s="168" t="s">
        <v>398</v>
      </c>
      <c r="C24" s="196" t="s">
        <v>425</v>
      </c>
      <c r="D24" s="227" t="str">
        <f>VLOOKUP(C24,Config!N:O,2,0)</f>
        <v>INT</v>
      </c>
      <c r="E24" s="20"/>
      <c r="F24" s="20"/>
      <c r="G24" s="20"/>
      <c r="H24" s="20"/>
      <c r="I24" s="443"/>
      <c r="J24" s="443"/>
      <c r="K24" s="20"/>
      <c r="L24" s="20"/>
      <c r="M24" s="20"/>
      <c r="N24" s="20"/>
      <c r="O24" s="20"/>
      <c r="P24" s="20"/>
      <c r="Q24" s="20"/>
      <c r="R24" s="20"/>
      <c r="S24" s="20"/>
      <c r="T24" s="20"/>
      <c r="U24" s="20"/>
      <c r="V24" s="20"/>
      <c r="W24" s="20"/>
      <c r="X24" s="20"/>
      <c r="Y24" s="20"/>
      <c r="Z24" s="20"/>
      <c r="AA24" s="20"/>
      <c r="AB24" s="20"/>
      <c r="AC24" s="20"/>
    </row>
    <row r="25" spans="1:29" s="188" customFormat="1" ht="11.25" customHeight="true" outlineLevel="1" thickBot="1" x14ac:dyDescent="0.25">
      <c r="A25" s="173"/>
      <c r="B25" s="169" t="s">
        <v>499</v>
      </c>
      <c r="C25" s="196" t="s">
        <v>1381</v>
      </c>
      <c r="D25" s="228" t="str">
        <f>VLOOKUP(C25,Config!Q:R,2,0)</f>
        <v>F</v>
      </c>
      <c r="E25" s="20"/>
      <c r="F25" s="20"/>
      <c r="G25" s="20"/>
      <c r="H25" s="20"/>
      <c r="I25" s="443"/>
      <c r="J25" s="443"/>
      <c r="K25" s="20"/>
      <c r="L25" s="20"/>
      <c r="M25" s="20"/>
      <c r="N25" s="20"/>
      <c r="O25" s="20"/>
      <c r="P25" s="20"/>
      <c r="Q25" s="20"/>
      <c r="R25" s="20"/>
      <c r="S25" s="20"/>
      <c r="T25" s="20"/>
      <c r="U25" s="20"/>
      <c r="V25" s="20"/>
      <c r="W25" s="20"/>
      <c r="X25" s="20"/>
      <c r="Y25" s="20"/>
      <c r="Z25" s="20"/>
      <c r="AA25" s="20"/>
      <c r="AB25" s="20"/>
      <c r="AC25" s="20"/>
    </row>
    <row r="26" spans="1:29" s="188" customFormat="1" ht="19.5" customHeight="true" outlineLevel="1" thickBot="1" x14ac:dyDescent="0.25">
      <c r="A26" s="173"/>
      <c r="B26" s="169" t="s">
        <v>1146</v>
      </c>
      <c r="C26" s="242"/>
      <c r="D26" s="20"/>
      <c r="E26" s="20"/>
      <c r="F26" s="20"/>
      <c r="G26" s="20"/>
      <c r="H26" s="20"/>
      <c r="I26" s="443"/>
      <c r="J26" s="443"/>
      <c r="K26" s="20"/>
      <c r="L26" s="20"/>
      <c r="M26" s="20"/>
      <c r="N26" s="20"/>
      <c r="O26" s="20"/>
      <c r="P26" s="20"/>
      <c r="Q26" s="20"/>
      <c r="R26" s="20"/>
      <c r="S26" s="20"/>
      <c r="T26" s="20"/>
      <c r="U26" s="20"/>
      <c r="V26" s="20"/>
      <c r="W26" s="20"/>
      <c r="X26" s="20"/>
      <c r="Y26" s="20"/>
      <c r="Z26" s="20"/>
      <c r="AA26" s="20"/>
      <c r="AB26" s="20"/>
      <c r="AC26" s="20"/>
    </row>
    <row r="27" spans="1:29" s="188" customFormat="1" ht="16.5" customHeight="true" outlineLevel="1" x14ac:dyDescent="0.2">
      <c r="A27" s="173"/>
      <c r="B27" s="20"/>
      <c r="C27" s="20"/>
      <c r="D27" s="20"/>
      <c r="E27" s="20"/>
      <c r="F27" s="20"/>
      <c r="G27" s="20"/>
      <c r="H27" s="20"/>
      <c r="I27" s="443"/>
      <c r="J27" s="443"/>
      <c r="K27" s="20"/>
      <c r="L27" s="20"/>
      <c r="M27" s="20"/>
      <c r="N27" s="20"/>
      <c r="O27" s="20"/>
      <c r="P27" s="20"/>
      <c r="Q27" s="20"/>
      <c r="R27" s="20"/>
      <c r="S27" s="20"/>
      <c r="T27" s="20"/>
      <c r="U27" s="20"/>
      <c r="V27" s="20"/>
      <c r="W27" s="20"/>
      <c r="X27" s="20"/>
      <c r="Y27" s="20"/>
      <c r="Z27" s="20"/>
      <c r="AA27" s="20"/>
      <c r="AB27" s="20"/>
      <c r="AC27" s="20"/>
    </row>
    <row r="28" spans="1:29" s="188" customFormat="1" ht="7.5" customHeight="true" outlineLevel="1" x14ac:dyDescent="0.2">
      <c r="A28" s="173"/>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row>
    <row r="29" spans="1:29" s="188" customFormat="1" ht="7.5" customHeight="true" outlineLevel="1" x14ac:dyDescent="0.2">
      <c r="A29" s="173"/>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row>
    <row r="30" spans="1:29" s="188" customFormat="1" ht="7.5" customHeight="true" outlineLevel="1" x14ac:dyDescent="0.2">
      <c r="A30" s="173"/>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row>
    <row r="31" spans="1:29" s="188" customFormat="1" ht="7.5" customHeight="true" outlineLevel="1" x14ac:dyDescent="0.2">
      <c r="A31" s="173"/>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row>
    <row r="32" spans="1:29" s="188" customFormat="1" ht="7.5" customHeight="true" outlineLevel="1" x14ac:dyDescent="0.2">
      <c r="A32" s="173"/>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row>
    <row r="33" spans="1:29" s="188" customFormat="1" ht="7.5" customHeight="true" outlineLevel="1" x14ac:dyDescent="0.2">
      <c r="A33" s="173"/>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row>
    <row r="34" spans="1:29" s="188" customFormat="1" ht="7.5" customHeight="true" outlineLevel="1" x14ac:dyDescent="0.2">
      <c r="A34" s="173"/>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row>
    <row r="35" spans="1:29" s="188" customFormat="1" ht="7.5" customHeight="true" outlineLevel="1" x14ac:dyDescent="0.2">
      <c r="A35" s="173"/>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row>
    <row r="36" spans="1:29" s="188" customFormat="1" ht="7.5" customHeight="true" outlineLevel="1" x14ac:dyDescent="0.2">
      <c r="A36" s="173"/>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row>
    <row r="37" spans="1:29" s="188" customFormat="1" ht="7.5" customHeight="true" outlineLevel="1" x14ac:dyDescent="0.2">
      <c r="A37" s="173"/>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row>
    <row r="38" spans="1:29" s="188" customFormat="1" ht="7.5" customHeight="true" outlineLevel="1" thickBot="1" x14ac:dyDescent="0.25">
      <c r="A38" s="173"/>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row>
    <row r="39" spans="1:29" s="15" customFormat="1" ht="7.5" customHeight="true" outlineLevel="1" collapsed="1" x14ac:dyDescent="0.2">
      <c r="A39" s="18"/>
      <c r="B39" s="18"/>
      <c r="C39" s="18"/>
      <c r="D39" s="18"/>
      <c r="E39" s="18"/>
      <c r="F39" s="18"/>
      <c r="G39" s="18"/>
      <c r="H39" s="18"/>
      <c r="I39" s="18"/>
      <c r="J39" s="18"/>
      <c r="K39" s="18"/>
      <c r="L39" s="18"/>
      <c r="M39" s="20"/>
      <c r="N39" s="20"/>
      <c r="O39" s="20"/>
      <c r="P39" s="20"/>
      <c r="Q39" s="20"/>
      <c r="R39" s="20"/>
      <c r="S39" s="20"/>
      <c r="T39" s="20"/>
      <c r="U39" s="20"/>
      <c r="V39" s="20"/>
      <c r="W39" s="20"/>
      <c r="X39" s="20"/>
      <c r="Y39" s="20"/>
      <c r="Z39" s="20"/>
      <c r="AA39" s="20"/>
      <c r="AB39" s="20"/>
      <c r="AC39" s="58"/>
    </row>
    <row r="40" spans="1:29" s="15" customFormat="1" ht="27.0" customHeight="true" x14ac:dyDescent="0.3">
      <c r="A40" s="51" t="s">
        <v>609</v>
      </c>
      <c r="B40" s="52"/>
      <c r="C40" s="52"/>
      <c r="D40" s="52"/>
      <c r="E40" s="52"/>
      <c r="F40" s="52"/>
      <c r="G40" s="52"/>
      <c r="H40" s="52"/>
      <c r="I40" s="52"/>
      <c r="J40" s="52"/>
      <c r="K40" s="52"/>
      <c r="L40" s="52"/>
      <c r="M40" s="33"/>
      <c r="N40" s="33"/>
      <c r="O40" s="33"/>
      <c r="P40" s="33"/>
      <c r="Q40" s="33"/>
      <c r="R40" s="33"/>
      <c r="S40" s="33"/>
      <c r="T40" s="33"/>
      <c r="U40" s="33"/>
      <c r="V40" s="33"/>
      <c r="W40" s="33"/>
      <c r="X40" s="33"/>
      <c r="Y40" s="33"/>
      <c r="Z40" s="33"/>
      <c r="AA40" s="33"/>
      <c r="AB40" s="33"/>
      <c r="AC40" s="59"/>
    </row>
    <row r="41" spans="1:29" s="19" customFormat="1" ht="12.0" thickBot="1" x14ac:dyDescent="0.25" customHeight="true">
      <c r="A41" s="75" t="n">
        <v>0.0</v>
      </c>
      <c r="B41" s="75" t="n">
        <v>1.0</v>
      </c>
      <c r="C41" s="75" t="n">
        <v>2.0</v>
      </c>
      <c r="D41" s="75" t="n">
        <v>3.0</v>
      </c>
      <c r="E41" s="75" t="n">
        <v>4.0</v>
      </c>
      <c r="F41" s="75" t="n">
        <v>5.0</v>
      </c>
      <c r="G41" s="75" t="n">
        <v>6.0</v>
      </c>
      <c r="H41" s="75" t="n">
        <v>7.0</v>
      </c>
      <c r="I41" s="75" t="n">
        <v>8.0</v>
      </c>
      <c r="J41" s="75" t="n">
        <v>9.0</v>
      </c>
      <c r="K41" s="75" t="n">
        <v>10.0</v>
      </c>
      <c r="L41" s="75" t="n">
        <v>11.0</v>
      </c>
      <c r="M41" s="75" t="n">
        <v>12.0</v>
      </c>
      <c r="N41" s="75" t="n">
        <v>13.0</v>
      </c>
      <c r="O41" s="75" t="n">
        <v>14.0</v>
      </c>
      <c r="P41" s="75" t="n">
        <v>15.0</v>
      </c>
      <c r="Q41" s="75" t="n">
        <v>16.0</v>
      </c>
      <c r="R41" s="75" t="n">
        <v>17.0</v>
      </c>
      <c r="S41" s="75" t="n">
        <v>18.0</v>
      </c>
      <c r="T41" s="75" t="n">
        <v>19.0</v>
      </c>
      <c r="U41" s="75" t="n">
        <v>20.0</v>
      </c>
      <c r="V41" s="75" t="n">
        <v>21.0</v>
      </c>
      <c r="W41" s="75" t="n">
        <v>22.0</v>
      </c>
      <c r="X41" s="75" t="n">
        <v>21.0</v>
      </c>
      <c r="Y41" s="75">
        <v>24</v>
      </c>
      <c r="Z41" s="75">
        <v>25</v>
      </c>
      <c r="AA41" s="75">
        <v>26</v>
      </c>
      <c r="AB41" s="75">
        <v>27</v>
      </c>
      <c r="AC41" s="75">
        <v>28</v>
      </c>
    </row>
    <row r="42" spans="1:29" s="188" customFormat="1" ht="7.5" customHeight="true" outlineLevel="1" x14ac:dyDescent="0.2">
      <c r="A42" s="173"/>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row>
    <row r="43" spans="1:29" s="188" customFormat="1" ht="7.5" customHeight="true" outlineLevel="1" thickBot="1" x14ac:dyDescent="0.25">
      <c r="A43" s="173"/>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row>
    <row r="44" spans="1:29" s="188" customFormat="1" ht="18.75" outlineLevel="1" thickBot="1" x14ac:dyDescent="0.25" customHeight="true">
      <c r="A44" s="173"/>
      <c r="B44" s="221" t="s">
        <v>617</v>
      </c>
      <c r="C44" s="300"/>
      <c r="D44" s="20"/>
      <c r="E44" s="161" t="s">
        <v>375</v>
      </c>
      <c r="F44" s="170"/>
      <c r="G44" s="20"/>
      <c r="H44" s="426" t="s">
        <v>57</v>
      </c>
      <c r="I44" s="427"/>
      <c r="J44" s="170"/>
      <c r="K44" s="20"/>
      <c r="L44" s="297" t="s">
        <v>1075</v>
      </c>
      <c r="M44" s="170"/>
      <c r="N44" s="20"/>
      <c r="O44" s="245" t="s">
        <v>723</v>
      </c>
      <c r="P44" s="251"/>
      <c r="Q44" s="20"/>
      <c r="R44" s="20"/>
      <c r="S44" s="20"/>
      <c r="T44" s="20"/>
      <c r="U44" s="20"/>
      <c r="V44" s="20"/>
      <c r="W44" s="20"/>
      <c r="X44" s="20"/>
      <c r="Y44" s="20"/>
      <c r="Z44" s="20"/>
      <c r="AA44" s="20"/>
      <c r="AB44" s="20"/>
      <c r="AC44" s="20"/>
    </row>
    <row r="45" spans="1:29" s="188" customFormat="1" ht="23.25" customHeight="true" outlineLevel="1" x14ac:dyDescent="0.2">
      <c r="A45" s="173"/>
      <c r="B45" s="219" t="s">
        <v>728</v>
      </c>
      <c r="C45" s="250"/>
      <c r="D45" s="20"/>
      <c r="E45" s="224" t="s">
        <v>374</v>
      </c>
      <c r="F45" s="225"/>
      <c r="G45" s="20"/>
      <c r="H45" s="424" t="s">
        <v>58</v>
      </c>
      <c r="I45" s="425"/>
      <c r="J45" s="198"/>
      <c r="K45" s="20"/>
      <c r="L45" s="152" t="s">
        <v>1076</v>
      </c>
      <c r="M45" s="296"/>
      <c r="N45" s="20"/>
      <c r="O45" s="247" t="s">
        <v>724</v>
      </c>
      <c r="P45" s="253"/>
      <c r="Q45" s="20"/>
      <c r="R45" s="20"/>
      <c r="S45" s="20"/>
      <c r="T45" s="20"/>
      <c r="U45" s="20"/>
      <c r="V45" s="20"/>
      <c r="W45" s="20"/>
      <c r="X45" s="20"/>
      <c r="Y45" s="20"/>
      <c r="Z45" s="20"/>
      <c r="AA45" s="20"/>
      <c r="AB45" s="20"/>
      <c r="AC45" s="20"/>
    </row>
    <row r="46" spans="1:29" s="188" customFormat="1" ht="24.75" outlineLevel="1" thickBot="1" x14ac:dyDescent="0.25" customHeight="true">
      <c r="A46" s="173"/>
      <c r="B46" s="220"/>
      <c r="C46" s="234"/>
      <c r="D46" s="20"/>
      <c r="E46" s="202" t="s">
        <v>50</v>
      </c>
      <c r="F46" s="239"/>
      <c r="G46" s="20"/>
      <c r="H46" s="424" t="s">
        <v>562</v>
      </c>
      <c r="I46" s="425"/>
      <c r="J46" s="145"/>
      <c r="K46" s="20"/>
      <c r="L46" s="152" t="s">
        <v>201</v>
      </c>
      <c r="M46" s="145"/>
      <c r="N46" s="20"/>
      <c r="O46" s="252" t="s">
        <v>725</v>
      </c>
      <c r="P46" s="250"/>
      <c r="Q46" s="20"/>
      <c r="R46" s="20"/>
      <c r="S46" s="20"/>
      <c r="T46" s="20"/>
      <c r="U46" s="20"/>
      <c r="V46" s="20"/>
      <c r="W46" s="20"/>
      <c r="X46" s="20"/>
      <c r="Y46" s="20"/>
      <c r="Z46" s="20"/>
      <c r="AA46" s="20"/>
      <c r="AB46" s="20"/>
      <c r="AC46" s="20"/>
    </row>
    <row r="47" spans="1:29" s="188" customFormat="1" ht="24.75" outlineLevel="1" thickBot="1" x14ac:dyDescent="0.25" customHeight="true">
      <c r="A47" s="173"/>
      <c r="B47" s="20"/>
      <c r="C47" s="235"/>
      <c r="D47" s="20"/>
      <c r="E47" s="202" t="s">
        <v>51</v>
      </c>
      <c r="F47" s="239"/>
      <c r="G47" s="20"/>
      <c r="H47" s="436" t="s">
        <v>530</v>
      </c>
      <c r="I47" s="437"/>
      <c r="J47" s="172"/>
      <c r="K47" s="20"/>
      <c r="L47" s="271" t="s">
        <v>199</v>
      </c>
      <c r="M47" s="145"/>
      <c r="N47" s="20"/>
      <c r="O47" s="252" t="s">
        <v>53</v>
      </c>
      <c r="P47" s="250"/>
      <c r="Q47" s="20"/>
      <c r="R47" s="20"/>
      <c r="S47" s="20"/>
      <c r="T47" s="20"/>
      <c r="U47" s="20"/>
      <c r="V47" s="20"/>
      <c r="W47" s="20"/>
      <c r="X47" s="20"/>
      <c r="Y47" s="20"/>
      <c r="Z47" s="20"/>
      <c r="AA47" s="20"/>
      <c r="AB47" s="20"/>
      <c r="AC47" s="20"/>
    </row>
    <row r="48" spans="1:29" s="188" customFormat="1" ht="16.5" outlineLevel="1" thickBot="1" x14ac:dyDescent="0.25" customHeight="true">
      <c r="A48" s="173"/>
      <c r="B48" s="189" t="s">
        <v>391</v>
      </c>
      <c r="C48" s="236" t="s">
        <v>1382</v>
      </c>
      <c r="D48" s="20"/>
      <c r="E48" s="202" t="s">
        <v>52</v>
      </c>
      <c r="F48" s="240"/>
      <c r="G48" s="20"/>
      <c r="H48" s="426" t="s">
        <v>200</v>
      </c>
      <c r="I48" s="427"/>
      <c r="J48" s="197"/>
      <c r="K48" s="20"/>
      <c r="L48" s="152" t="s">
        <v>1077</v>
      </c>
      <c r="M48" s="145"/>
      <c r="N48" s="20"/>
      <c r="O48" s="252" t="s">
        <v>727</v>
      </c>
      <c r="P48" s="250"/>
      <c r="Q48" s="20"/>
      <c r="R48" s="20"/>
      <c r="S48" s="20"/>
      <c r="T48" s="20"/>
      <c r="U48" s="20"/>
      <c r="V48" s="20"/>
      <c r="W48" s="20"/>
      <c r="X48" s="20"/>
      <c r="Y48" s="20"/>
      <c r="Z48" s="20"/>
      <c r="AA48" s="20"/>
      <c r="AB48" s="20"/>
      <c r="AC48" s="20"/>
    </row>
    <row r="49" spans="1:29" s="188" customFormat="1" ht="16.5" outlineLevel="1" thickBot="1" x14ac:dyDescent="0.25" customHeight="true">
      <c r="A49" s="173"/>
      <c r="B49" s="189" t="s">
        <v>392</v>
      </c>
      <c r="C49" s="233" t="s">
        <v>1383</v>
      </c>
      <c r="D49" s="20"/>
      <c r="E49" s="202" t="s">
        <v>53</v>
      </c>
      <c r="F49" s="241"/>
      <c r="G49" s="20"/>
      <c r="H49" s="448" t="s">
        <v>201</v>
      </c>
      <c r="I49" s="449"/>
      <c r="J49" s="198"/>
      <c r="K49" s="20"/>
      <c r="L49" s="152" t="s">
        <v>53</v>
      </c>
      <c r="M49" s="272"/>
      <c r="N49" s="20"/>
      <c r="O49" s="20"/>
      <c r="P49" s="20"/>
      <c r="Q49" s="20"/>
      <c r="R49" s="20"/>
      <c r="S49" s="20"/>
      <c r="T49" s="20"/>
      <c r="U49" s="20"/>
      <c r="V49" s="20"/>
      <c r="W49" s="20"/>
      <c r="X49" s="20"/>
      <c r="Y49" s="20"/>
      <c r="Z49" s="20"/>
      <c r="AA49" s="20"/>
      <c r="AB49" s="20"/>
      <c r="AC49" s="20"/>
    </row>
    <row r="50" spans="1:29" s="188" customFormat="1" ht="16.5" outlineLevel="1" thickBot="1" x14ac:dyDescent="0.25" customHeight="true">
      <c r="A50" s="173"/>
      <c r="B50" s="189" t="s">
        <v>384</v>
      </c>
      <c r="C50" s="233" t="s">
        <v>1384</v>
      </c>
      <c r="D50" s="20"/>
      <c r="E50" s="154" t="s">
        <v>615</v>
      </c>
      <c r="F50" s="239"/>
      <c r="G50" s="20"/>
      <c r="H50" s="424" t="s">
        <v>198</v>
      </c>
      <c r="I50" s="425"/>
      <c r="J50" s="198"/>
      <c r="K50" s="20"/>
      <c r="L50" s="152" t="s">
        <v>1078</v>
      </c>
      <c r="M50" s="145"/>
      <c r="N50" s="20"/>
      <c r="O50" s="431" t="s">
        <v>59</v>
      </c>
      <c r="P50" s="388"/>
      <c r="Q50" s="389"/>
      <c r="R50" s="235" t="s">
        <v>1096</v>
      </c>
      <c r="S50" s="20"/>
      <c r="T50" s="20"/>
      <c r="U50" s="20"/>
      <c r="V50" s="20"/>
      <c r="W50" s="20"/>
      <c r="X50" s="20"/>
      <c r="Y50" s="20"/>
      <c r="Z50" s="20"/>
      <c r="AA50" s="20"/>
      <c r="AB50" s="20"/>
      <c r="AC50" s="20"/>
    </row>
    <row r="51" spans="1:29" s="188" customFormat="1" ht="16.5" outlineLevel="1" thickBot="1" x14ac:dyDescent="0.25" customHeight="true">
      <c r="A51" s="173"/>
      <c r="B51" s="189" t="s">
        <v>383</v>
      </c>
      <c r="C51" s="234" t="s">
        <v>202</v>
      </c>
      <c r="D51" s="20"/>
      <c r="E51" s="222" t="s">
        <v>54</v>
      </c>
      <c r="F51" s="223"/>
      <c r="G51" s="20"/>
      <c r="H51" s="424" t="s">
        <v>199</v>
      </c>
      <c r="I51" s="425"/>
      <c r="J51" s="198"/>
      <c r="K51" s="20"/>
      <c r="L51" s="271" t="s">
        <v>1079</v>
      </c>
      <c r="M51" s="145"/>
      <c r="N51" s="20"/>
      <c r="O51" s="432"/>
      <c r="P51" s="390"/>
      <c r="Q51" s="391"/>
      <c r="R51" s="235"/>
      <c r="S51" s="20"/>
      <c r="T51" s="20"/>
      <c r="U51" s="20"/>
      <c r="V51" s="20"/>
      <c r="W51" s="20"/>
      <c r="X51" s="20"/>
      <c r="Y51" s="20"/>
      <c r="Z51" s="20"/>
      <c r="AA51" s="20"/>
      <c r="AB51" s="20"/>
      <c r="AC51" s="20"/>
    </row>
    <row r="52" spans="1:29" s="188" customFormat="1" ht="16.5" outlineLevel="1" thickBot="1" x14ac:dyDescent="0.25" customHeight="true">
      <c r="A52" s="173"/>
      <c r="B52" s="189" t="s">
        <v>1131</v>
      </c>
      <c r="C52" s="233"/>
      <c r="D52" s="20"/>
      <c r="E52" s="152" t="s">
        <v>50</v>
      </c>
      <c r="F52" s="145"/>
      <c r="G52" s="20"/>
      <c r="H52" s="424" t="s">
        <v>369</v>
      </c>
      <c r="I52" s="425"/>
      <c r="J52" s="198"/>
      <c r="K52" s="20"/>
      <c r="L52" s="271" t="s">
        <v>1080</v>
      </c>
      <c r="M52" s="145"/>
      <c r="N52" s="20"/>
      <c r="O52" s="432"/>
      <c r="P52" s="390"/>
      <c r="Q52" s="391"/>
      <c r="R52" s="235"/>
      <c r="S52" s="20"/>
      <c r="T52" s="20"/>
      <c r="U52" s="20"/>
      <c r="V52" s="20"/>
      <c r="W52" s="20"/>
      <c r="X52" s="20"/>
      <c r="Y52" s="20"/>
      <c r="Z52" s="20"/>
      <c r="AA52" s="20"/>
      <c r="AB52" s="20"/>
      <c r="AC52" s="20"/>
    </row>
    <row r="53" spans="1:29" s="188" customFormat="1" ht="24.75" outlineLevel="1" thickBot="1" x14ac:dyDescent="0.25" customHeight="true">
      <c r="A53" s="173"/>
      <c r="B53" s="20"/>
      <c r="C53" s="235"/>
      <c r="D53" s="20"/>
      <c r="E53" s="152" t="s">
        <v>52</v>
      </c>
      <c r="F53" s="145"/>
      <c r="G53" s="20"/>
      <c r="H53" s="436" t="s">
        <v>370</v>
      </c>
      <c r="I53" s="437"/>
      <c r="J53" s="199"/>
      <c r="K53" s="20"/>
      <c r="L53" s="271" t="s">
        <v>1081</v>
      </c>
      <c r="M53" s="172"/>
      <c r="N53" s="20"/>
      <c r="O53" s="432"/>
      <c r="P53" s="390"/>
      <c r="Q53" s="391"/>
      <c r="R53" s="235"/>
      <c r="S53" s="20"/>
      <c r="T53" s="20"/>
      <c r="U53" s="20"/>
      <c r="V53" s="20"/>
      <c r="W53" s="20"/>
      <c r="X53" s="20"/>
      <c r="Y53" s="20"/>
      <c r="Z53" s="20"/>
      <c r="AA53" s="20"/>
      <c r="AB53" s="20"/>
      <c r="AC53" s="20"/>
    </row>
    <row r="54" spans="1:29" s="188" customFormat="1" ht="16.5" outlineLevel="1" thickBot="1" x14ac:dyDescent="0.25" customHeight="true">
      <c r="A54" s="173"/>
      <c r="B54" s="20"/>
      <c r="C54" s="235"/>
      <c r="D54" s="20"/>
      <c r="E54" s="153" t="s">
        <v>53</v>
      </c>
      <c r="F54" s="172"/>
      <c r="G54" s="20"/>
      <c r="H54" s="426" t="s">
        <v>1326</v>
      </c>
      <c r="I54" s="427"/>
      <c r="J54" s="170"/>
      <c r="K54" s="20"/>
      <c r="L54" s="297" t="s">
        <v>1334</v>
      </c>
      <c r="M54" s="170"/>
      <c r="N54" s="20"/>
      <c r="O54" s="432"/>
      <c r="P54" s="390"/>
      <c r="Q54" s="391"/>
      <c r="R54" s="235"/>
      <c r="S54" s="20"/>
      <c r="T54" s="20"/>
      <c r="U54" s="20"/>
      <c r="V54" s="20"/>
      <c r="W54" s="20"/>
      <c r="X54" s="20"/>
      <c r="Y54" s="20"/>
      <c r="Z54" s="20"/>
      <c r="AA54" s="20"/>
      <c r="AB54" s="20"/>
      <c r="AC54" s="20"/>
    </row>
    <row r="55" spans="1:29" s="188" customFormat="1" ht="15.75" outlineLevel="1" x14ac:dyDescent="0.2" customHeight="true">
      <c r="A55" s="173"/>
      <c r="B55" s="190" t="s">
        <v>208</v>
      </c>
      <c r="C55" s="236" t="s">
        <v>387</v>
      </c>
      <c r="D55" s="20"/>
      <c r="E55" s="162" t="s">
        <v>55</v>
      </c>
      <c r="F55" s="170"/>
      <c r="G55" s="20"/>
      <c r="H55" s="424" t="s">
        <v>1328</v>
      </c>
      <c r="I55" s="425"/>
      <c r="J55" s="270"/>
      <c r="K55" s="20"/>
      <c r="L55" s="304" t="s">
        <v>1343</v>
      </c>
      <c r="M55" s="296"/>
      <c r="N55" s="20"/>
      <c r="O55" s="432"/>
      <c r="P55" s="390"/>
      <c r="Q55" s="391"/>
      <c r="R55" s="235"/>
      <c r="S55" s="20"/>
      <c r="T55" s="20"/>
      <c r="U55" s="20"/>
      <c r="V55" s="20"/>
      <c r="W55" s="20"/>
      <c r="X55" s="20"/>
      <c r="Y55" s="20"/>
      <c r="Z55" s="20"/>
      <c r="AA55" s="20"/>
      <c r="AB55" s="20"/>
      <c r="AC55" s="20"/>
    </row>
    <row r="56" spans="1:29" s="188" customFormat="1" ht="15.75" customHeight="true" outlineLevel="1" x14ac:dyDescent="0.2">
      <c r="A56" s="173"/>
      <c r="B56" s="200" t="s">
        <v>35</v>
      </c>
      <c r="C56" s="237" t="s">
        <v>339</v>
      </c>
      <c r="D56" s="20"/>
      <c r="E56" s="175" t="s">
        <v>56</v>
      </c>
      <c r="F56" s="434"/>
      <c r="G56" s="20"/>
      <c r="H56" s="384" t="s">
        <v>562</v>
      </c>
      <c r="I56" s="385"/>
      <c r="J56" s="145"/>
      <c r="K56" s="20"/>
      <c r="L56" s="305" t="s">
        <v>1344</v>
      </c>
      <c r="M56" s="145"/>
      <c r="N56" s="20"/>
      <c r="O56" s="432"/>
      <c r="P56" s="390"/>
      <c r="Q56" s="391"/>
      <c r="R56" s="235"/>
      <c r="S56" s="20"/>
      <c r="T56" s="20"/>
      <c r="U56" s="20"/>
      <c r="V56" s="20"/>
      <c r="W56" s="20"/>
      <c r="X56" s="20"/>
      <c r="Y56" s="20"/>
      <c r="Z56" s="20"/>
      <c r="AA56" s="20"/>
      <c r="AB56" s="20"/>
      <c r="AC56" s="20"/>
    </row>
    <row r="57" spans="1:29" s="188" customFormat="1" ht="12.75" customHeight="true" outlineLevel="1" x14ac:dyDescent="0.2">
      <c r="A57" s="173"/>
      <c r="B57" s="200" t="s">
        <v>590</v>
      </c>
      <c r="C57" s="233" t="s">
        <v>1385</v>
      </c>
      <c r="D57" s="20"/>
      <c r="E57" s="176"/>
      <c r="F57" s="435"/>
      <c r="G57" s="20"/>
      <c r="H57" s="384" t="s">
        <v>530</v>
      </c>
      <c r="I57" s="385"/>
      <c r="J57" s="145"/>
      <c r="K57" s="20"/>
      <c r="L57" s="305" t="s">
        <v>1340</v>
      </c>
      <c r="M57" s="145"/>
      <c r="N57" s="20"/>
      <c r="O57" s="432"/>
      <c r="P57" s="390"/>
      <c r="Q57" s="391"/>
      <c r="R57" s="235"/>
      <c r="S57" s="20"/>
      <c r="T57" s="20"/>
      <c r="U57" s="20"/>
      <c r="V57" s="20"/>
      <c r="W57" s="20"/>
      <c r="X57" s="20"/>
      <c r="Y57" s="20"/>
      <c r="Z57" s="20"/>
      <c r="AA57" s="20"/>
      <c r="AB57" s="20"/>
      <c r="AC57" s="20"/>
    </row>
    <row r="58" spans="1:29" s="188" customFormat="1" ht="13.5" customHeight="true" outlineLevel="1" thickBot="1" x14ac:dyDescent="0.25">
      <c r="A58" s="173"/>
      <c r="B58" s="200" t="s">
        <v>526</v>
      </c>
      <c r="C58" s="233" t="s">
        <v>1386</v>
      </c>
      <c r="D58" s="20"/>
      <c r="E58" s="152" t="s">
        <v>1065</v>
      </c>
      <c r="F58" s="145"/>
      <c r="G58" s="20"/>
      <c r="H58" s="386" t="s">
        <v>1123</v>
      </c>
      <c r="I58" s="387"/>
      <c r="J58" s="302"/>
      <c r="K58" s="20"/>
      <c r="L58" s="305" t="s">
        <v>1342</v>
      </c>
      <c r="M58" s="145"/>
      <c r="N58" s="20"/>
      <c r="O58" s="432"/>
      <c r="P58" s="390"/>
      <c r="Q58" s="391"/>
      <c r="R58" s="235"/>
      <c r="S58" s="20"/>
      <c r="T58" s="20"/>
      <c r="U58" s="20"/>
      <c r="V58" s="20"/>
      <c r="W58" s="20"/>
      <c r="X58" s="20"/>
      <c r="Y58" s="20"/>
      <c r="Z58" s="20"/>
      <c r="AA58" s="20"/>
      <c r="AB58" s="20"/>
      <c r="AC58" s="20"/>
    </row>
    <row r="59" spans="1:29" s="188" customFormat="1" ht="12.75" customHeight="true" outlineLevel="1" thickBot="1" x14ac:dyDescent="0.25">
      <c r="A59" s="173"/>
      <c r="B59" s="200" t="s">
        <v>522</v>
      </c>
      <c r="C59" s="233"/>
      <c r="D59" s="20"/>
      <c r="E59" s="152" t="s">
        <v>546</v>
      </c>
      <c r="F59" s="145"/>
      <c r="G59" s="20"/>
      <c r="H59" s="397" t="s">
        <v>1095</v>
      </c>
      <c r="I59" s="398"/>
      <c r="J59" s="298"/>
      <c r="K59" s="20"/>
      <c r="L59" s="303" t="s">
        <v>1341</v>
      </c>
      <c r="M59" s="172" t="s">
        <v>1382</v>
      </c>
      <c r="N59" s="20"/>
      <c r="O59" s="432"/>
      <c r="P59" s="390"/>
      <c r="Q59" s="391"/>
      <c r="R59" s="235"/>
      <c r="S59" s="20"/>
      <c r="T59" s="20"/>
      <c r="U59" s="20"/>
      <c r="V59" s="20"/>
      <c r="W59" s="20"/>
      <c r="X59" s="20"/>
      <c r="Y59" s="20"/>
      <c r="Z59" s="20"/>
      <c r="AA59" s="20"/>
      <c r="AB59" s="20"/>
      <c r="AC59" s="20"/>
    </row>
    <row r="60" spans="1:29" s="188" customFormat="1" ht="13.5" customHeight="true" outlineLevel="1" thickBot="1" x14ac:dyDescent="0.25">
      <c r="A60" s="173"/>
      <c r="B60" s="200" t="s">
        <v>523</v>
      </c>
      <c r="C60" s="233"/>
      <c r="D60" s="20"/>
      <c r="E60" s="152" t="s">
        <v>547</v>
      </c>
      <c r="F60" s="145"/>
      <c r="G60" s="20"/>
      <c r="H60" s="399" t="s">
        <v>1063</v>
      </c>
      <c r="I60" s="400"/>
      <c r="J60" s="394"/>
      <c r="K60" s="20"/>
      <c r="L60" s="20"/>
      <c r="M60" s="20"/>
      <c r="N60" s="20"/>
      <c r="O60" s="433"/>
      <c r="P60" s="392"/>
      <c r="Q60" s="393"/>
      <c r="R60" s="235"/>
      <c r="S60" s="20"/>
      <c r="T60" s="20"/>
      <c r="U60" s="20"/>
      <c r="V60" s="20"/>
      <c r="W60" s="20"/>
      <c r="X60" s="20"/>
      <c r="Y60" s="20"/>
      <c r="Z60" s="20"/>
      <c r="AA60" s="20"/>
      <c r="AB60" s="20"/>
      <c r="AC60" s="20"/>
    </row>
    <row r="61" spans="1:29" s="188" customFormat="1" ht="12.75" customHeight="true" outlineLevel="1" x14ac:dyDescent="0.2">
      <c r="A61" s="173"/>
      <c r="B61" s="200" t="s">
        <v>591</v>
      </c>
      <c r="C61" s="233" t="s">
        <v>1387</v>
      </c>
      <c r="D61" s="20"/>
      <c r="E61" s="152" t="s">
        <v>50</v>
      </c>
      <c r="F61" s="145"/>
      <c r="G61" s="20"/>
      <c r="H61" s="390"/>
      <c r="I61" s="400"/>
      <c r="J61" s="395"/>
      <c r="K61" s="20"/>
      <c r="L61" s="20"/>
      <c r="M61" s="20"/>
      <c r="N61" s="20"/>
      <c r="O61" s="20"/>
      <c r="P61" s="20"/>
      <c r="Q61" s="20"/>
      <c r="R61" s="20"/>
      <c r="S61" s="20"/>
      <c r="T61" s="20"/>
      <c r="U61" s="20"/>
      <c r="V61" s="20"/>
      <c r="W61" s="20"/>
      <c r="X61" s="20"/>
      <c r="Y61" s="20"/>
      <c r="Z61" s="20"/>
      <c r="AA61" s="20"/>
      <c r="AB61" s="20"/>
      <c r="AC61" s="20"/>
    </row>
    <row r="62" spans="1:29" s="188" customFormat="1" ht="12.75" customHeight="true" outlineLevel="1" x14ac:dyDescent="0.2">
      <c r="A62" s="173"/>
      <c r="B62" s="200" t="s">
        <v>34</v>
      </c>
      <c r="C62" s="233" t="s">
        <v>1388</v>
      </c>
      <c r="D62" s="20"/>
      <c r="E62" s="152" t="s">
        <v>52</v>
      </c>
      <c r="F62" s="145"/>
      <c r="G62" s="20"/>
      <c r="H62" s="390"/>
      <c r="I62" s="400"/>
      <c r="J62" s="395"/>
      <c r="K62" s="20"/>
      <c r="L62" s="20"/>
      <c r="M62" s="20"/>
      <c r="N62" s="20"/>
      <c r="O62" s="20"/>
      <c r="P62" s="20"/>
      <c r="Q62" s="20"/>
      <c r="R62" s="20"/>
      <c r="S62" s="20"/>
      <c r="T62" s="20"/>
      <c r="U62" s="20"/>
      <c r="V62" s="20"/>
      <c r="W62" s="20"/>
      <c r="X62" s="20"/>
      <c r="Y62" s="20"/>
      <c r="Z62" s="20"/>
      <c r="AA62" s="20"/>
      <c r="AB62" s="20"/>
      <c r="AC62" s="20"/>
    </row>
    <row r="63" spans="1:29" s="188" customFormat="1" ht="13.5" customHeight="true" outlineLevel="1" x14ac:dyDescent="0.2">
      <c r="A63" s="173"/>
      <c r="B63" s="200" t="s">
        <v>36</v>
      </c>
      <c r="C63" s="233" t="s">
        <v>1389</v>
      </c>
      <c r="D63" s="20"/>
      <c r="E63" s="152" t="s">
        <v>53</v>
      </c>
      <c r="F63" s="145"/>
      <c r="G63" s="20"/>
      <c r="H63" s="390"/>
      <c r="I63" s="400"/>
      <c r="J63" s="395"/>
      <c r="K63" s="20"/>
      <c r="L63" s="20"/>
      <c r="M63" s="20"/>
      <c r="N63" s="20"/>
      <c r="O63" s="20"/>
      <c r="P63" s="20"/>
      <c r="Q63" s="20"/>
      <c r="R63" s="20"/>
      <c r="S63" s="20"/>
      <c r="T63" s="20"/>
      <c r="U63" s="20"/>
      <c r="V63" s="20"/>
      <c r="W63" s="20"/>
      <c r="X63" s="20"/>
      <c r="Y63" s="20"/>
      <c r="Z63" s="20"/>
      <c r="AA63" s="20"/>
      <c r="AB63" s="20"/>
      <c r="AC63" s="20"/>
    </row>
    <row r="64" spans="1:29" s="188" customFormat="1" ht="18.75" customHeight="true" outlineLevel="1" thickBot="1" x14ac:dyDescent="0.25">
      <c r="A64" s="173"/>
      <c r="B64" s="243" t="s">
        <v>37</v>
      </c>
      <c r="C64" s="243"/>
      <c r="D64" s="20"/>
      <c r="E64" s="269" t="s">
        <v>1066</v>
      </c>
      <c r="F64" s="145"/>
      <c r="G64" s="20"/>
      <c r="H64" s="390"/>
      <c r="I64" s="400"/>
      <c r="J64" s="395"/>
      <c r="K64" s="20"/>
      <c r="L64" s="20"/>
      <c r="M64" s="20"/>
      <c r="N64" s="20"/>
      <c r="O64" s="20"/>
      <c r="P64" s="20"/>
      <c r="Q64" s="20"/>
      <c r="R64" s="20"/>
      <c r="S64" s="20"/>
      <c r="T64" s="20"/>
      <c r="U64" s="20"/>
      <c r="V64" s="20"/>
      <c r="W64" s="20"/>
      <c r="X64" s="20"/>
      <c r="Y64" s="20"/>
      <c r="Z64" s="20"/>
      <c r="AA64" s="20"/>
      <c r="AB64" s="20"/>
      <c r="AC64" s="20"/>
    </row>
    <row r="65" spans="1:29" s="188" customFormat="1" ht="18.0" customHeight="true" outlineLevel="1" x14ac:dyDescent="0.25">
      <c r="A65" s="173"/>
      <c r="B65" s="243" t="s">
        <v>40</v>
      </c>
      <c r="C65" s="243"/>
      <c r="D65" s="20"/>
      <c r="E65" s="161" t="s">
        <v>536</v>
      </c>
      <c r="F65" s="201"/>
      <c r="G65" s="20"/>
      <c r="H65" s="390"/>
      <c r="I65" s="400"/>
      <c r="J65" s="395"/>
      <c r="K65" s="20"/>
      <c r="L65" s="20"/>
      <c r="M65" s="20"/>
      <c r="N65" s="20"/>
      <c r="O65" s="20"/>
      <c r="P65" s="20"/>
      <c r="Q65" s="20"/>
      <c r="R65" s="20"/>
      <c r="S65" s="20"/>
      <c r="T65" s="20"/>
      <c r="U65" s="20"/>
      <c r="V65" s="20"/>
      <c r="W65" s="20"/>
      <c r="X65" s="20"/>
      <c r="Y65" s="20"/>
      <c r="Z65" s="20"/>
      <c r="AA65" s="20"/>
      <c r="AB65" s="20"/>
      <c r="AC65" s="20"/>
    </row>
    <row r="66" spans="1:29" s="188" customFormat="1" ht="13.5" outlineLevel="1" collapsed="1" thickBot="1" x14ac:dyDescent="0.25" customHeight="true">
      <c r="A66" s="173"/>
      <c r="B66" s="200" t="s">
        <v>38</v>
      </c>
      <c r="C66" s="233"/>
      <c r="D66" s="20"/>
      <c r="E66" s="154" t="s">
        <v>537</v>
      </c>
      <c r="F66" s="198"/>
      <c r="G66" s="20"/>
      <c r="H66" s="390"/>
      <c r="I66" s="400"/>
      <c r="J66" s="395"/>
      <c r="K66" s="20"/>
      <c r="L66" s="20"/>
      <c r="M66" s="20"/>
      <c r="N66" s="20"/>
      <c r="O66" s="20"/>
      <c r="P66" s="20"/>
      <c r="Q66" s="20"/>
      <c r="R66" s="20"/>
      <c r="S66" s="20"/>
      <c r="T66" s="20"/>
      <c r="U66" s="20"/>
      <c r="V66" s="20"/>
      <c r="W66" s="20"/>
      <c r="X66" s="20"/>
      <c r="Y66" s="20"/>
      <c r="Z66" s="20"/>
      <c r="AA66" s="20"/>
      <c r="AB66" s="20"/>
      <c r="AC66" s="20"/>
    </row>
    <row r="67" spans="1:29" s="188" customFormat="1" ht="16.5" outlineLevel="1" thickBot="1" x14ac:dyDescent="0.25" customHeight="true">
      <c r="A67" s="173"/>
      <c r="B67" s="226" t="s">
        <v>41</v>
      </c>
      <c r="C67" s="238" t="s">
        <v>1390</v>
      </c>
      <c r="D67" s="20"/>
      <c r="E67" s="222" t="s">
        <v>1317</v>
      </c>
      <c r="F67" s="223"/>
      <c r="G67" s="20"/>
      <c r="H67" s="390"/>
      <c r="I67" s="400"/>
      <c r="J67" s="395"/>
      <c r="K67" s="20"/>
      <c r="L67" s="20"/>
      <c r="M67" s="20"/>
      <c r="N67" s="20"/>
      <c r="O67" s="20"/>
      <c r="P67" s="20"/>
      <c r="Q67" s="20"/>
      <c r="R67" s="20"/>
      <c r="S67" s="20"/>
      <c r="T67" s="20"/>
      <c r="U67" s="20"/>
      <c r="V67" s="20"/>
      <c r="W67" s="20"/>
      <c r="X67" s="20"/>
      <c r="Y67" s="20"/>
      <c r="Z67" s="20"/>
      <c r="AA67" s="20"/>
      <c r="AB67" s="20"/>
      <c r="AC67" s="20"/>
    </row>
    <row r="68" spans="1:29" s="188" customFormat="1" ht="13.5" outlineLevel="1" thickBot="1" x14ac:dyDescent="0.25" customHeight="true">
      <c r="A68" s="173"/>
      <c r="B68" s="226" t="s">
        <v>770</v>
      </c>
      <c r="C68" s="262" t="s">
        <v>775</v>
      </c>
      <c r="D68" s="256" t="e">
        <f>IF(ISBLANK(VLOOKUP(C68,Conf_Format!H1:M901,6,0)),#N/A,VLOOKUP(C68,Conf_Format!H1:M901,6,0))</f>
        <v>#N/A</v>
      </c>
      <c r="E68" s="274" t="s">
        <v>1121</v>
      </c>
      <c r="F68" s="145"/>
      <c r="G68" s="20"/>
      <c r="H68" s="390"/>
      <c r="I68" s="400"/>
      <c r="J68" s="395"/>
      <c r="K68" s="20"/>
      <c r="L68" s="20"/>
      <c r="M68" s="20"/>
      <c r="N68" s="20"/>
      <c r="O68" s="20"/>
      <c r="P68" s="20"/>
      <c r="Q68" s="20"/>
      <c r="R68" s="20"/>
      <c r="S68" s="20"/>
      <c r="T68" s="20"/>
      <c r="U68" s="20"/>
      <c r="V68" s="20"/>
      <c r="W68" s="20"/>
      <c r="X68" s="20"/>
      <c r="Y68" s="20"/>
      <c r="Z68" s="20"/>
      <c r="AA68" s="20"/>
      <c r="AB68" s="20"/>
      <c r="AC68" s="20"/>
    </row>
    <row r="69" spans="1:29" s="188" customFormat="1" ht="15.0" customHeight="true" outlineLevel="1" thickBot="1" x14ac:dyDescent="0.25">
      <c r="A69" s="173"/>
      <c r="B69" s="226" t="s">
        <v>1184</v>
      </c>
      <c r="C69" s="262"/>
      <c r="D69" s="256" t="e">
        <f>IF(ISBLANK(VLOOKUP(C69,Conf_Format!P2:S55,4,0)),#N/A,VLOOKUP(C69,Conf_Format!P2:S55,4,0))</f>
        <v>#N/A</v>
      </c>
      <c r="E69" s="274" t="s">
        <v>1122</v>
      </c>
      <c r="F69" s="145"/>
      <c r="G69" s="20"/>
      <c r="H69" s="390"/>
      <c r="I69" s="400"/>
      <c r="J69" s="395"/>
      <c r="K69" s="20"/>
      <c r="L69" s="20"/>
      <c r="M69" s="20"/>
      <c r="N69" s="20"/>
      <c r="O69" s="20"/>
      <c r="P69" s="20"/>
      <c r="Q69" s="20"/>
      <c r="R69" s="20"/>
      <c r="S69" s="20"/>
      <c r="T69" s="20"/>
      <c r="U69" s="20"/>
      <c r="V69" s="20"/>
      <c r="W69" s="20"/>
      <c r="X69" s="20"/>
      <c r="Y69" s="20"/>
      <c r="Z69" s="20"/>
      <c r="AA69" s="20"/>
      <c r="AB69" s="20"/>
      <c r="AC69" s="20"/>
    </row>
    <row r="70" spans="1:29" s="188" customFormat="1" ht="13.5" customHeight="true" outlineLevel="1" thickBot="1" x14ac:dyDescent="0.25">
      <c r="A70" s="173"/>
      <c r="B70" s="20"/>
      <c r="C70" s="20"/>
      <c r="D70" s="20"/>
      <c r="E70" s="271" t="s">
        <v>1123</v>
      </c>
      <c r="F70" s="272"/>
      <c r="G70" s="20"/>
      <c r="H70" s="392"/>
      <c r="I70" s="401"/>
      <c r="J70" s="396"/>
      <c r="K70" s="20"/>
      <c r="L70" s="20"/>
      <c r="M70" s="20"/>
      <c r="N70" s="20"/>
      <c r="O70" s="20"/>
      <c r="P70" s="20"/>
      <c r="Q70" s="20"/>
      <c r="R70" s="20"/>
      <c r="S70" s="20"/>
      <c r="T70" s="20"/>
      <c r="U70" s="20"/>
      <c r="V70" s="20"/>
      <c r="W70" s="20"/>
      <c r="X70" s="20"/>
      <c r="Y70" s="20"/>
      <c r="Z70" s="20"/>
      <c r="AA70" s="20"/>
      <c r="AB70" s="20"/>
      <c r="AC70" s="20"/>
    </row>
    <row r="71" spans="1:29" s="188" customFormat="1" ht="11.25" customHeight="true" outlineLevel="1" x14ac:dyDescent="0.2">
      <c r="A71" s="173"/>
      <c r="B71" s="20"/>
      <c r="C71" s="20"/>
      <c r="D71" s="20"/>
      <c r="E71" s="271" t="s">
        <v>1324</v>
      </c>
      <c r="F71" s="272"/>
      <c r="G71" s="20"/>
      <c r="H71" s="20"/>
      <c r="I71" s="20"/>
      <c r="J71" s="20"/>
      <c r="K71" s="20"/>
      <c r="L71" s="20"/>
      <c r="M71" s="20"/>
      <c r="N71" s="20"/>
      <c r="O71" s="20"/>
      <c r="P71" s="20"/>
      <c r="Q71" s="20"/>
      <c r="R71" s="20"/>
      <c r="S71" s="20"/>
      <c r="T71" s="20"/>
      <c r="U71" s="20"/>
      <c r="V71" s="20"/>
      <c r="W71" s="20"/>
      <c r="X71" s="20"/>
      <c r="Y71" s="20"/>
      <c r="Z71" s="20"/>
      <c r="AA71" s="20"/>
      <c r="AB71" s="20"/>
      <c r="AC71" s="20"/>
    </row>
    <row r="72" spans="1:29" s="188" customFormat="1" ht="11.25" customHeight="true" outlineLevel="1" x14ac:dyDescent="0.2">
      <c r="A72" s="173"/>
      <c r="B72" s="20"/>
      <c r="C72" s="20"/>
      <c r="D72" s="20"/>
      <c r="E72" s="299" t="s">
        <v>1346</v>
      </c>
      <c r="F72" s="270"/>
      <c r="G72" s="20"/>
      <c r="H72" s="20"/>
      <c r="I72" s="20"/>
      <c r="J72" s="20"/>
      <c r="K72" s="20"/>
      <c r="L72" s="20"/>
      <c r="M72" s="20"/>
      <c r="N72" s="20"/>
      <c r="O72" s="20"/>
      <c r="P72" s="20"/>
      <c r="Q72" s="20"/>
      <c r="R72" s="20"/>
      <c r="S72" s="20"/>
      <c r="T72" s="20"/>
      <c r="U72" s="20"/>
      <c r="V72" s="20"/>
      <c r="W72" s="20"/>
      <c r="X72" s="20"/>
      <c r="Y72" s="20"/>
      <c r="Z72" s="20"/>
      <c r="AA72" s="20"/>
      <c r="AB72" s="20"/>
      <c r="AC72" s="20"/>
    </row>
    <row r="73" spans="1:29" s="188" customFormat="1" ht="11.25" customHeight="true" outlineLevel="1" x14ac:dyDescent="0.2">
      <c r="A73" s="173"/>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c r="AC73" s="20"/>
    </row>
    <row r="74" spans="1:29" s="188" customFormat="1" ht="11.25" customHeight="true" outlineLevel="1" x14ac:dyDescent="0.2">
      <c r="A74" s="173"/>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row>
    <row r="75" spans="1:29" s="188" customFormat="1" ht="11.25" customHeight="true" outlineLevel="1" thickBot="1" x14ac:dyDescent="0.25">
      <c r="A75" s="173"/>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row>
    <row r="76" spans="1:29" s="15" customFormat="1" ht="14.25" customHeight="true" x14ac:dyDescent="0.2">
      <c r="A76" s="18"/>
      <c r="B76" s="18"/>
      <c r="C76" s="18"/>
      <c r="D76" s="18"/>
      <c r="E76" s="18"/>
      <c r="F76" s="18"/>
      <c r="G76" s="18"/>
      <c r="H76" s="18"/>
      <c r="I76" s="18"/>
      <c r="J76" s="18"/>
      <c r="K76" s="18"/>
      <c r="L76" s="18"/>
      <c r="M76" s="20"/>
      <c r="N76" s="20"/>
      <c r="O76" s="20"/>
      <c r="P76" s="20"/>
      <c r="Q76" s="20"/>
      <c r="R76" s="20"/>
      <c r="S76" s="20"/>
      <c r="T76" s="20"/>
      <c r="U76" s="20"/>
      <c r="V76" s="20"/>
      <c r="W76" s="20"/>
      <c r="X76" s="20"/>
      <c r="Y76" s="20"/>
      <c r="Z76" s="20"/>
      <c r="AA76" s="20"/>
      <c r="AB76" s="20"/>
      <c r="AC76" s="58"/>
    </row>
    <row r="77" spans="1:29" s="15" customFormat="1" ht="24.0" customHeight="true" x14ac:dyDescent="0.3">
      <c r="A77" s="51" t="s">
        <v>610</v>
      </c>
      <c r="B77" s="52"/>
      <c r="C77" s="52"/>
      <c r="D77" s="52"/>
      <c r="E77" s="52"/>
      <c r="F77" s="52"/>
      <c r="G77" s="52"/>
      <c r="H77" s="52"/>
      <c r="I77" s="52"/>
      <c r="J77" s="52"/>
      <c r="K77" s="52"/>
      <c r="L77" s="52"/>
      <c r="M77" s="33"/>
      <c r="N77" s="33"/>
      <c r="O77" s="33"/>
      <c r="P77" s="33"/>
      <c r="Q77" s="33"/>
      <c r="R77" s="33"/>
      <c r="S77" s="33"/>
      <c r="T77" s="33"/>
      <c r="U77" s="33"/>
      <c r="V77" s="33"/>
      <c r="W77" s="33"/>
      <c r="X77" s="33"/>
      <c r="Y77" s="33"/>
      <c r="Z77" s="33"/>
      <c r="AA77" s="33"/>
      <c r="AB77" s="33"/>
      <c r="AC77" s="59"/>
    </row>
    <row r="78" spans="1:29" s="19" customFormat="1" ht="12.0" thickBot="1" x14ac:dyDescent="0.25" customHeight="true">
      <c r="A78" s="75" t="n">
        <v>0.0</v>
      </c>
      <c r="B78" s="75" t="n">
        <v>1.0</v>
      </c>
      <c r="C78" s="75" t="n">
        <v>2.0</v>
      </c>
      <c r="D78" s="75" t="n">
        <v>3.0</v>
      </c>
      <c r="E78" s="75" t="n">
        <v>4.0</v>
      </c>
      <c r="F78" s="75" t="n">
        <v>5.0</v>
      </c>
      <c r="G78" s="75" t="n">
        <v>6.0</v>
      </c>
      <c r="H78" s="75" t="n">
        <v>7.0</v>
      </c>
      <c r="I78" s="75" t="n">
        <v>8.0</v>
      </c>
      <c r="J78" s="75" t="n">
        <v>9.0</v>
      </c>
      <c r="K78" s="75" t="n">
        <v>10.0</v>
      </c>
      <c r="L78" s="75" t="n">
        <v>11.0</v>
      </c>
      <c r="M78" s="75" t="n">
        <v>12.0</v>
      </c>
      <c r="N78" s="75" t="n">
        <v>13.0</v>
      </c>
      <c r="O78" s="75" t="n">
        <v>14.0</v>
      </c>
      <c r="P78" s="75" t="n">
        <v>15.0</v>
      </c>
      <c r="Q78" s="75" t="n">
        <v>16.0</v>
      </c>
      <c r="R78" s="75" t="n">
        <v>17.0</v>
      </c>
      <c r="S78" s="75" t="n">
        <v>18.0</v>
      </c>
      <c r="T78" s="75" t="n">
        <v>19.0</v>
      </c>
      <c r="U78" s="75" t="n">
        <v>20.0</v>
      </c>
      <c r="V78" s="75" t="n">
        <v>21.0</v>
      </c>
      <c r="W78" s="75" t="n">
        <v>22.0</v>
      </c>
      <c r="X78" s="75" t="n">
        <v>21.0</v>
      </c>
      <c r="Y78" s="75">
        <v>24</v>
      </c>
      <c r="Z78" s="75">
        <v>25</v>
      </c>
      <c r="AA78" s="75">
        <v>26</v>
      </c>
      <c r="AB78" s="75">
        <v>27</v>
      </c>
      <c r="AC78" s="75">
        <v>28</v>
      </c>
    </row>
    <row r="79" spans="1:29" s="188" customFormat="1" ht="8.25" customHeight="true" outlineLevel="1" x14ac:dyDescent="0.2">
      <c r="A79" s="173"/>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row>
    <row r="80" spans="1:29" s="188" customFormat="1" ht="8.25" customHeight="true" outlineLevel="1" thickBot="1" x14ac:dyDescent="0.25">
      <c r="A80" s="173"/>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c r="AC80" s="20"/>
    </row>
    <row r="81" spans="1:29" s="188" customFormat="1" ht="21.0" customHeight="true" outlineLevel="1" x14ac:dyDescent="0.2">
      <c r="A81" s="173"/>
      <c r="B81" s="203" t="s">
        <v>587</v>
      </c>
      <c r="C81" s="217"/>
      <c r="D81" s="20"/>
      <c r="E81" s="20"/>
      <c r="F81" s="428" t="s">
        <v>544</v>
      </c>
      <c r="G81" s="429"/>
      <c r="H81" s="430"/>
      <c r="I81" s="20"/>
      <c r="J81" s="20"/>
      <c r="K81" s="20"/>
      <c r="L81" s="20"/>
      <c r="M81" s="20"/>
      <c r="N81" s="20"/>
      <c r="O81" s="20"/>
      <c r="P81" s="20"/>
      <c r="Q81" s="20"/>
      <c r="R81" s="20"/>
      <c r="S81" s="20"/>
      <c r="T81" s="20"/>
      <c r="U81" s="20"/>
      <c r="V81" s="20"/>
      <c r="W81" s="20"/>
      <c r="X81" s="20"/>
      <c r="Y81" s="20"/>
      <c r="Z81" s="20"/>
      <c r="AA81" s="20"/>
      <c r="AB81" s="20"/>
      <c r="AC81" s="20"/>
    </row>
    <row r="82" spans="1:29" s="188" customFormat="1" ht="21.0" customHeight="true" outlineLevel="1" thickBot="1" x14ac:dyDescent="0.25">
      <c r="A82" s="173"/>
      <c r="B82" s="204" t="s">
        <v>588</v>
      </c>
      <c r="C82" s="198"/>
      <c r="D82" s="20"/>
      <c r="E82" s="20"/>
      <c r="F82" s="177" t="s">
        <v>622</v>
      </c>
      <c r="G82" s="405"/>
      <c r="H82" s="406"/>
      <c r="I82" s="174"/>
      <c r="J82" s="171"/>
      <c r="K82" s="171"/>
      <c r="L82" s="171"/>
      <c r="M82" s="20"/>
      <c r="N82" s="20"/>
      <c r="O82" s="20"/>
      <c r="P82" s="20"/>
      <c r="Q82" s="20"/>
      <c r="R82" s="20"/>
      <c r="S82" s="20"/>
      <c r="T82" s="20"/>
      <c r="U82" s="20"/>
      <c r="V82" s="20"/>
      <c r="W82" s="20"/>
      <c r="X82" s="20"/>
      <c r="Y82" s="20"/>
      <c r="Z82" s="20"/>
      <c r="AA82" s="20"/>
      <c r="AB82" s="20"/>
      <c r="AC82" s="20"/>
    </row>
    <row r="83" spans="1:29" s="188" customFormat="1" ht="21.0" customHeight="true" outlineLevel="1" x14ac:dyDescent="0.2">
      <c r="A83" s="173"/>
      <c r="B83" s="204" t="s">
        <v>589</v>
      </c>
      <c r="C83" s="198"/>
      <c r="D83" s="20"/>
      <c r="E83" s="421" t="s">
        <v>620</v>
      </c>
      <c r="F83" s="418" t="s">
        <v>621</v>
      </c>
      <c r="G83" s="414"/>
      <c r="H83" s="414"/>
      <c r="I83" s="414"/>
      <c r="J83" s="414"/>
      <c r="K83" s="414"/>
      <c r="L83" s="415"/>
      <c r="M83" s="173"/>
      <c r="N83" s="20"/>
      <c r="O83" s="20"/>
      <c r="P83" s="20"/>
      <c r="Q83" s="20"/>
      <c r="R83" s="20"/>
      <c r="S83" s="20"/>
      <c r="T83" s="20"/>
      <c r="U83" s="20"/>
      <c r="V83" s="20"/>
      <c r="W83" s="20"/>
      <c r="X83" s="20"/>
      <c r="Y83" s="20"/>
      <c r="Z83" s="20"/>
      <c r="AA83" s="20"/>
      <c r="AB83" s="20"/>
      <c r="AC83" s="20"/>
    </row>
    <row r="84" spans="1:29" s="188" customFormat="1" ht="21.0" customHeight="true" outlineLevel="1" x14ac:dyDescent="0.2">
      <c r="A84" s="173"/>
      <c r="B84" s="204" t="s">
        <v>574</v>
      </c>
      <c r="C84" s="198"/>
      <c r="D84" s="20"/>
      <c r="E84" s="422"/>
      <c r="F84" s="419"/>
      <c r="G84" s="414"/>
      <c r="H84" s="414"/>
      <c r="I84" s="414"/>
      <c r="J84" s="414"/>
      <c r="K84" s="414"/>
      <c r="L84" s="415"/>
      <c r="M84" s="173"/>
      <c r="N84" s="20"/>
      <c r="O84" s="20"/>
      <c r="P84" s="20"/>
      <c r="Q84" s="20"/>
      <c r="R84" s="20"/>
      <c r="S84" s="20"/>
      <c r="T84" s="20"/>
      <c r="U84" s="20"/>
      <c r="V84" s="20"/>
      <c r="W84" s="20"/>
      <c r="X84" s="20"/>
      <c r="Y84" s="20"/>
      <c r="Z84" s="20"/>
      <c r="AA84" s="20"/>
      <c r="AB84" s="20"/>
      <c r="AC84" s="20"/>
    </row>
    <row r="85" spans="1:29" s="188" customFormat="1" ht="21.0" customHeight="true" outlineLevel="1" thickBot="1" x14ac:dyDescent="0.25">
      <c r="A85" s="173"/>
      <c r="B85" s="205" t="s">
        <v>575</v>
      </c>
      <c r="C85" s="199"/>
      <c r="D85" s="20"/>
      <c r="E85" s="422"/>
      <c r="F85" s="420"/>
      <c r="G85" s="416"/>
      <c r="H85" s="416"/>
      <c r="I85" s="416"/>
      <c r="J85" s="416"/>
      <c r="K85" s="416"/>
      <c r="L85" s="417"/>
      <c r="M85" s="173"/>
      <c r="N85" s="20"/>
      <c r="O85" s="20"/>
      <c r="P85" s="20"/>
      <c r="Q85" s="20"/>
      <c r="R85" s="20"/>
      <c r="S85" s="20"/>
      <c r="T85" s="20"/>
      <c r="U85" s="20"/>
      <c r="V85" s="20"/>
      <c r="W85" s="20"/>
      <c r="X85" s="20"/>
      <c r="Y85" s="20"/>
      <c r="Z85" s="20"/>
      <c r="AA85" s="20"/>
      <c r="AB85" s="20"/>
      <c r="AC85" s="20"/>
    </row>
    <row r="86" spans="1:29" s="188" customFormat="1" ht="21.0" customHeight="true" outlineLevel="1" x14ac:dyDescent="0.2">
      <c r="A86" s="173"/>
      <c r="B86" s="20"/>
      <c r="C86" s="20"/>
      <c r="D86" s="20"/>
      <c r="E86" s="422"/>
      <c r="F86" s="418" t="s">
        <v>619</v>
      </c>
      <c r="G86" s="414"/>
      <c r="H86" s="414"/>
      <c r="I86" s="414"/>
      <c r="J86" s="414"/>
      <c r="K86" s="414"/>
      <c r="L86" s="415"/>
      <c r="M86" s="173"/>
      <c r="N86" s="20"/>
      <c r="O86" s="20"/>
      <c r="P86" s="20"/>
      <c r="Q86" s="20"/>
      <c r="R86" s="20"/>
      <c r="S86" s="20"/>
      <c r="T86" s="20"/>
      <c r="U86" s="20"/>
      <c r="V86" s="20"/>
      <c r="W86" s="20"/>
      <c r="X86" s="20"/>
      <c r="Y86" s="20"/>
      <c r="Z86" s="20"/>
      <c r="AA86" s="20"/>
      <c r="AB86" s="20"/>
      <c r="AC86" s="20"/>
    </row>
    <row r="87" spans="1:29" s="188" customFormat="1" ht="19.5" customHeight="true" outlineLevel="1" thickBot="1" x14ac:dyDescent="0.25">
      <c r="A87" s="173"/>
      <c r="B87" s="20"/>
      <c r="C87" s="20"/>
      <c r="D87" s="20"/>
      <c r="E87" s="422"/>
      <c r="F87" s="419"/>
      <c r="G87" s="414"/>
      <c r="H87" s="414"/>
      <c r="I87" s="414"/>
      <c r="J87" s="414"/>
      <c r="K87" s="414"/>
      <c r="L87" s="415"/>
      <c r="M87" s="173"/>
      <c r="N87" s="20"/>
      <c r="O87" s="20"/>
      <c r="P87" s="20"/>
      <c r="Q87" s="20"/>
      <c r="R87" s="20"/>
      <c r="S87" s="20"/>
      <c r="T87" s="20"/>
      <c r="U87" s="20"/>
      <c r="V87" s="20"/>
      <c r="W87" s="20"/>
      <c r="X87" s="20"/>
      <c r="Y87" s="20"/>
      <c r="Z87" s="20"/>
      <c r="AA87" s="20"/>
      <c r="AB87" s="20"/>
      <c r="AC87" s="20"/>
    </row>
    <row r="88" spans="1:29" s="188" customFormat="1" ht="19.5" customHeight="true" outlineLevel="1" x14ac:dyDescent="0.2">
      <c r="A88" s="173"/>
      <c r="B88" s="206" t="s">
        <v>618</v>
      </c>
      <c r="C88" s="170"/>
      <c r="D88" s="20"/>
      <c r="E88" s="422"/>
      <c r="F88" s="419"/>
      <c r="G88" s="414"/>
      <c r="H88" s="414"/>
      <c r="I88" s="414"/>
      <c r="J88" s="414"/>
      <c r="K88" s="414"/>
      <c r="L88" s="415"/>
      <c r="M88" s="173"/>
      <c r="N88" s="20"/>
      <c r="O88" s="20"/>
      <c r="P88" s="20"/>
      <c r="Q88" s="20"/>
      <c r="R88" s="20"/>
      <c r="S88" s="20"/>
      <c r="T88" s="20"/>
      <c r="U88" s="20"/>
      <c r="V88" s="20"/>
      <c r="W88" s="20"/>
      <c r="X88" s="20"/>
      <c r="Y88" s="20"/>
      <c r="Z88" s="20"/>
      <c r="AA88" s="20"/>
      <c r="AB88" s="20"/>
      <c r="AC88" s="20"/>
    </row>
    <row r="89" spans="1:29" s="188" customFormat="1" ht="18.0" customHeight="true" outlineLevel="1" x14ac:dyDescent="0.2">
      <c r="A89" s="173"/>
      <c r="B89" s="168" t="s">
        <v>207</v>
      </c>
      <c r="C89" s="196" t="s">
        <v>1391</v>
      </c>
      <c r="D89" s="20"/>
      <c r="E89" s="422"/>
      <c r="F89" s="419"/>
      <c r="G89" s="414"/>
      <c r="H89" s="414"/>
      <c r="I89" s="414"/>
      <c r="J89" s="414"/>
      <c r="K89" s="414"/>
      <c r="L89" s="415"/>
      <c r="M89" s="173"/>
      <c r="N89" s="20"/>
      <c r="O89" s="20"/>
      <c r="P89" s="20"/>
      <c r="Q89" s="20"/>
      <c r="R89" s="20"/>
      <c r="S89" s="20"/>
      <c r="T89" s="20"/>
      <c r="U89" s="20"/>
      <c r="V89" s="20"/>
      <c r="W89" s="20"/>
      <c r="X89" s="20"/>
      <c r="Y89" s="20"/>
      <c r="Z89" s="20"/>
      <c r="AA89" s="20"/>
      <c r="AB89" s="20"/>
      <c r="AC89" s="20"/>
    </row>
    <row r="90" spans="1:29" s="188" customFormat="1" ht="18.0" customHeight="true" outlineLevel="1" x14ac:dyDescent="0.2">
      <c r="A90" s="173"/>
      <c r="B90" s="168" t="s">
        <v>382</v>
      </c>
      <c r="C90" s="196" t="s">
        <v>202</v>
      </c>
      <c r="D90" s="20"/>
      <c r="E90" s="422"/>
      <c r="F90" s="419"/>
      <c r="G90" s="414"/>
      <c r="H90" s="414"/>
      <c r="I90" s="414"/>
      <c r="J90" s="414"/>
      <c r="K90" s="414"/>
      <c r="L90" s="415"/>
      <c r="M90" s="173"/>
      <c r="N90" s="20"/>
      <c r="O90" s="20"/>
      <c r="P90" s="20"/>
      <c r="Q90" s="20"/>
      <c r="R90" s="20"/>
      <c r="S90" s="20"/>
      <c r="T90" s="20"/>
      <c r="U90" s="20"/>
      <c r="V90" s="20"/>
      <c r="W90" s="20"/>
      <c r="X90" s="20"/>
      <c r="Y90" s="20"/>
      <c r="Z90" s="20"/>
      <c r="AA90" s="20"/>
      <c r="AB90" s="20"/>
      <c r="AC90" s="20"/>
    </row>
    <row r="91" spans="1:29" s="188" customFormat="1" ht="18.0" customHeight="true" outlineLevel="1" x14ac:dyDescent="0.2">
      <c r="A91" s="173"/>
      <c r="B91" s="168" t="s">
        <v>559</v>
      </c>
      <c r="C91" s="196"/>
      <c r="D91" s="20"/>
      <c r="E91" s="422"/>
      <c r="F91" s="419"/>
      <c r="G91" s="414"/>
      <c r="H91" s="414"/>
      <c r="I91" s="414"/>
      <c r="J91" s="414"/>
      <c r="K91" s="414"/>
      <c r="L91" s="415"/>
      <c r="M91" s="173"/>
      <c r="N91" s="20"/>
      <c r="O91" s="20"/>
      <c r="P91" s="20"/>
      <c r="Q91" s="20"/>
      <c r="R91" s="20"/>
      <c r="S91" s="20"/>
      <c r="T91" s="20"/>
      <c r="U91" s="20"/>
      <c r="V91" s="20"/>
      <c r="W91" s="20"/>
      <c r="X91" s="20"/>
      <c r="Y91" s="20"/>
      <c r="Z91" s="20"/>
      <c r="AA91" s="20"/>
      <c r="AB91" s="20"/>
      <c r="AC91" s="20"/>
    </row>
    <row r="92" spans="1:29" s="188" customFormat="1" ht="18.0" customHeight="true" outlineLevel="1" thickBot="1" x14ac:dyDescent="0.25">
      <c r="A92" s="173"/>
      <c r="B92" s="168" t="s">
        <v>560</v>
      </c>
      <c r="C92" s="196"/>
      <c r="D92" s="20"/>
      <c r="E92" s="422"/>
      <c r="F92" s="420"/>
      <c r="G92" s="414"/>
      <c r="H92" s="414"/>
      <c r="I92" s="414"/>
      <c r="J92" s="414"/>
      <c r="K92" s="414"/>
      <c r="L92" s="415"/>
      <c r="M92" s="173"/>
      <c r="N92" s="20"/>
      <c r="O92" s="20"/>
      <c r="P92" s="20"/>
      <c r="Q92" s="20"/>
      <c r="R92" s="20"/>
      <c r="S92" s="20"/>
      <c r="T92" s="20"/>
      <c r="U92" s="20"/>
      <c r="V92" s="20"/>
      <c r="W92" s="20"/>
      <c r="X92" s="20"/>
      <c r="Y92" s="20"/>
      <c r="Z92" s="20"/>
      <c r="AA92" s="20"/>
      <c r="AB92" s="20"/>
      <c r="AC92" s="20"/>
    </row>
    <row r="93" spans="1:29" s="188" customFormat="1" ht="18.0" customHeight="true" outlineLevel="1" x14ac:dyDescent="0.2">
      <c r="A93" s="173"/>
      <c r="B93" s="168" t="s">
        <v>561</v>
      </c>
      <c r="C93" s="196"/>
      <c r="D93" s="20"/>
      <c r="E93" s="20"/>
      <c r="F93" s="177" t="s">
        <v>593</v>
      </c>
      <c r="G93" s="407" t="s">
        <v>1396</v>
      </c>
      <c r="H93" s="408"/>
      <c r="I93" s="17"/>
      <c r="J93" s="18"/>
      <c r="K93" s="18"/>
      <c r="L93" s="18"/>
      <c r="M93" s="20"/>
      <c r="N93" s="20"/>
      <c r="O93" s="20"/>
      <c r="P93" s="20"/>
      <c r="Q93" s="20"/>
      <c r="R93" s="20"/>
      <c r="S93" s="20"/>
      <c r="T93" s="20"/>
      <c r="U93" s="20"/>
      <c r="V93" s="20"/>
      <c r="W93" s="20"/>
      <c r="X93" s="20"/>
      <c r="Y93" s="20"/>
      <c r="Z93" s="20"/>
      <c r="AA93" s="20"/>
      <c r="AB93" s="20"/>
      <c r="AC93" s="20"/>
    </row>
    <row r="94" spans="1:29" s="188" customFormat="1" ht="18.0" customHeight="true" outlineLevel="1" x14ac:dyDescent="0.2">
      <c r="A94" s="173"/>
      <c r="B94" s="168" t="s">
        <v>393</v>
      </c>
      <c r="C94" s="196" t="s">
        <v>1392</v>
      </c>
      <c r="D94" s="20"/>
      <c r="E94" s="20"/>
      <c r="F94" s="177" t="s">
        <v>605</v>
      </c>
      <c r="G94" s="409"/>
      <c r="H94" s="408"/>
      <c r="I94" s="20"/>
      <c r="J94" s="20"/>
      <c r="K94" s="20"/>
      <c r="L94" s="20"/>
      <c r="M94" s="20"/>
      <c r="N94" s="20"/>
      <c r="O94" s="20"/>
      <c r="P94" s="20"/>
      <c r="Q94" s="20"/>
      <c r="R94" s="20"/>
      <c r="S94" s="20"/>
      <c r="T94" s="20"/>
      <c r="U94" s="20"/>
      <c r="V94" s="20"/>
      <c r="W94" s="20"/>
      <c r="X94" s="20"/>
      <c r="Y94" s="20"/>
      <c r="Z94" s="20"/>
      <c r="AA94" s="20"/>
      <c r="AB94" s="20"/>
      <c r="AC94" s="20"/>
    </row>
    <row r="95" spans="1:29" s="188" customFormat="1" ht="13.5" outlineLevel="1" thickBot="1" x14ac:dyDescent="0.25" customHeight="true">
      <c r="A95" s="173"/>
      <c r="B95" s="169" t="s">
        <v>195</v>
      </c>
      <c r="C95" s="242" t="s">
        <v>1393</v>
      </c>
      <c r="D95" s="20"/>
      <c r="E95" s="20"/>
      <c r="F95" s="178" t="s">
        <v>606</v>
      </c>
      <c r="G95" s="410"/>
      <c r="H95" s="411"/>
      <c r="I95" s="20"/>
      <c r="J95" s="20"/>
      <c r="K95" s="20"/>
      <c r="L95" s="20"/>
      <c r="M95" s="20"/>
      <c r="N95" s="20"/>
      <c r="O95" s="20"/>
      <c r="P95" s="20"/>
      <c r="Q95" s="20"/>
      <c r="R95" s="20"/>
      <c r="S95" s="20"/>
      <c r="T95" s="20"/>
      <c r="U95" s="20"/>
      <c r="V95" s="20"/>
      <c r="W95" s="20"/>
      <c r="X95" s="20"/>
      <c r="Y95" s="20"/>
      <c r="Z95" s="20"/>
      <c r="AA95" s="20"/>
      <c r="AB95" s="20"/>
      <c r="AC95" s="20"/>
    </row>
    <row r="96" spans="1:29" s="188" customFormat="1" ht="16.5" customHeight="true" outlineLevel="1" thickBot="1" x14ac:dyDescent="0.25">
      <c r="A96" s="173"/>
      <c r="B96" s="169" t="s">
        <v>1070</v>
      </c>
      <c r="C96" s="242"/>
      <c r="D96" s="20"/>
      <c r="E96" s="20"/>
      <c r="F96" s="178" t="s">
        <v>1126</v>
      </c>
      <c r="G96" s="423"/>
      <c r="H96" s="411"/>
      <c r="I96" s="20"/>
      <c r="J96" s="20"/>
      <c r="K96" s="20"/>
      <c r="L96" s="20"/>
      <c r="M96" s="20"/>
      <c r="N96" s="20"/>
      <c r="O96" s="20"/>
      <c r="P96" s="20"/>
      <c r="Q96" s="20"/>
      <c r="R96" s="20"/>
      <c r="S96" s="20"/>
      <c r="T96" s="20"/>
      <c r="U96" s="20"/>
      <c r="V96" s="20"/>
      <c r="W96" s="20"/>
      <c r="X96" s="20"/>
      <c r="Y96" s="20"/>
      <c r="Z96" s="20"/>
      <c r="AA96" s="20"/>
      <c r="AB96" s="20"/>
      <c r="AC96" s="20"/>
    </row>
    <row r="97" spans="1:29" s="188" customFormat="1" ht="13.5" outlineLevel="1" thickBot="1" x14ac:dyDescent="0.25" customHeight="true">
      <c r="A97" s="173"/>
      <c r="B97" s="169" t="s">
        <v>1071</v>
      </c>
      <c r="C97" s="242"/>
      <c r="D97" s="270" t="e">
        <f>IF(C97&lt;&gt;"",VLOOKUP(C97,Y118:Z1090,2,0),#N/A)</f>
        <v>#N/A</v>
      </c>
      <c r="E97" s="20"/>
      <c r="F97" s="177" t="s">
        <v>1147</v>
      </c>
      <c r="G97" s="407"/>
      <c r="H97" s="408"/>
      <c r="I97" s="20"/>
      <c r="J97" s="20"/>
      <c r="K97" s="20"/>
      <c r="L97" s="20"/>
      <c r="M97" s="20"/>
      <c r="N97" s="20"/>
      <c r="O97" s="20"/>
      <c r="P97" s="20"/>
      <c r="Q97" s="20"/>
      <c r="R97" s="20"/>
      <c r="S97" s="20"/>
      <c r="T97" s="20"/>
      <c r="U97" s="20"/>
      <c r="V97" s="20"/>
      <c r="W97" s="20"/>
      <c r="X97" s="20"/>
      <c r="Y97" s="20"/>
      <c r="Z97" s="20"/>
      <c r="AA97" s="20"/>
      <c r="AB97" s="20"/>
      <c r="AC97" s="20"/>
    </row>
    <row r="98" spans="1:29" s="188" customFormat="1" ht="20.25" customHeight="true" outlineLevel="1" thickBot="1" x14ac:dyDescent="0.25">
      <c r="A98" s="173"/>
      <c r="B98" s="169" t="s">
        <v>1073</v>
      </c>
      <c r="C98" s="242"/>
      <c r="D98" s="20"/>
      <c r="E98" s="20"/>
      <c r="F98" s="20"/>
      <c r="G98" s="20"/>
      <c r="H98" s="20"/>
      <c r="I98" s="20"/>
      <c r="J98" s="20"/>
      <c r="K98" s="20"/>
      <c r="L98" s="20"/>
      <c r="M98" s="20"/>
      <c r="N98" s="20"/>
      <c r="O98" s="20"/>
      <c r="P98" s="20"/>
      <c r="Q98" s="20"/>
      <c r="R98" s="20"/>
      <c r="S98" s="20"/>
      <c r="T98" s="20"/>
      <c r="U98" s="20"/>
      <c r="V98" s="20"/>
      <c r="W98" s="20"/>
      <c r="X98" s="20"/>
      <c r="Y98" s="20"/>
      <c r="Z98" s="20"/>
      <c r="AA98" s="20"/>
      <c r="AB98" s="20"/>
      <c r="AC98" s="20"/>
    </row>
    <row r="99" spans="1:29" s="188" customFormat="1" ht="18.75" outlineLevel="1" thickBot="1" x14ac:dyDescent="0.3" customHeight="true">
      <c r="A99" s="173"/>
      <c r="B99" s="169" t="s">
        <v>1132</v>
      </c>
      <c r="C99" s="242"/>
      <c r="D99" s="20"/>
      <c r="E99" s="20"/>
      <c r="F99" s="160" t="s">
        <v>616</v>
      </c>
      <c r="G99" s="2"/>
      <c r="H99" s="151"/>
      <c r="I99" s="20"/>
      <c r="J99" s="20"/>
      <c r="K99" s="20"/>
      <c r="L99" s="20"/>
      <c r="M99" s="20"/>
      <c r="N99" s="20"/>
      <c r="O99" s="20"/>
      <c r="P99" s="20"/>
      <c r="Q99" s="20"/>
      <c r="R99" s="20"/>
      <c r="S99" s="20"/>
      <c r="T99" s="20"/>
      <c r="U99" s="20"/>
      <c r="V99" s="20"/>
      <c r="W99" s="20"/>
      <c r="X99" s="20"/>
      <c r="Y99" s="20"/>
      <c r="Z99" s="20"/>
      <c r="AA99" s="20"/>
      <c r="AB99" s="20"/>
      <c r="AC99" s="20"/>
    </row>
    <row r="100" spans="1:29" s="188" customFormat="1" ht="12.75" customHeight="true" outlineLevel="1" thickBot="1" x14ac:dyDescent="0.25">
      <c r="A100" s="173"/>
      <c r="B100" s="169" t="s">
        <v>1163</v>
      </c>
      <c r="C100" s="196"/>
      <c r="D100" s="20"/>
      <c r="E100" s="20"/>
      <c r="F100" s="158" t="s">
        <v>509</v>
      </c>
      <c r="G100" s="405" t="str">
        <f>"ODS_"&amp;C5&amp;"_DATA"</f>
        <v>ODS_Dinamo_DATA</v>
      </c>
      <c r="H100" s="406"/>
      <c r="I100" s="20"/>
      <c r="J100" s="20"/>
      <c r="K100" s="20"/>
      <c r="L100" s="20"/>
      <c r="M100" s="20"/>
      <c r="N100" s="20"/>
      <c r="O100" s="20"/>
      <c r="P100" s="20"/>
      <c r="Q100" s="20"/>
      <c r="R100" s="20"/>
      <c r="S100" s="20"/>
      <c r="T100" s="20"/>
      <c r="U100" s="20"/>
      <c r="V100" s="20"/>
      <c r="W100" s="20"/>
      <c r="X100" s="20"/>
      <c r="Y100" s="20"/>
      <c r="Z100" s="20"/>
      <c r="AA100" s="20"/>
      <c r="AB100" s="20"/>
      <c r="AC100" s="20"/>
    </row>
    <row r="101" spans="1:29" s="188" customFormat="1" ht="14.25" customHeight="true" outlineLevel="1" thickBot="1" x14ac:dyDescent="0.25">
      <c r="A101" s="173"/>
      <c r="B101" s="20"/>
      <c r="C101" s="20"/>
      <c r="D101" s="20"/>
      <c r="E101" s="20"/>
      <c r="F101" s="159" t="s">
        <v>510</v>
      </c>
      <c r="G101" s="405" t="str">
        <f>D24&amp;"_"&amp;D25&amp;"_"&amp;C17</f>
        <v>INT_F_BYPASS</v>
      </c>
      <c r="H101" s="406"/>
      <c r="I101" s="20"/>
      <c r="J101" s="20"/>
      <c r="K101" s="20"/>
      <c r="L101" s="20"/>
      <c r="M101" s="20"/>
      <c r="N101" s="20"/>
      <c r="O101" s="20"/>
      <c r="P101" s="20"/>
      <c r="Q101" s="20"/>
      <c r="R101" s="20"/>
      <c r="S101" s="20"/>
      <c r="T101" s="20"/>
      <c r="U101" s="20"/>
      <c r="V101" s="20"/>
      <c r="W101" s="20"/>
      <c r="X101" s="20"/>
      <c r="Y101" s="20"/>
      <c r="Z101" s="20"/>
      <c r="AA101" s="20"/>
      <c r="AB101" s="20"/>
      <c r="AC101" s="20"/>
    </row>
    <row r="102" spans="1:29" s="188" customFormat="1" ht="7.5" customHeight="true" outlineLevel="1" x14ac:dyDescent="0.2">
      <c r="A102" s="173"/>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c r="AC102" s="20"/>
    </row>
    <row r="103" spans="1:29" s="188" customFormat="1" ht="8.25" hidden="1" customHeight="true" outlineLevel="2" x14ac:dyDescent="0.2">
      <c r="A103" s="173"/>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c r="AC103" s="20"/>
    </row>
    <row r="104" spans="1:29" s="188" customFormat="1" ht="8.25" hidden="1" customHeight="true" outlineLevel="2" x14ac:dyDescent="0.2">
      <c r="A104" s="173"/>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c r="AC104" s="20"/>
    </row>
    <row r="105" spans="1:29" s="188" customFormat="1" ht="7.5" customHeight="true" outlineLevel="1" collapsed="1" x14ac:dyDescent="0.2">
      <c r="A105" s="173"/>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c r="AC105" s="20"/>
    </row>
    <row r="106" spans="1:29" s="188" customFormat="1" ht="7.5" customHeight="true" outlineLevel="1" x14ac:dyDescent="0.2">
      <c r="A106" s="173"/>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c r="AC106" s="20"/>
    </row>
    <row r="107" spans="1:29" s="188" customFormat="1" ht="8.25" hidden="1" customHeight="true" outlineLevel="2" x14ac:dyDescent="0.2">
      <c r="A107" s="173"/>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c r="AC107" s="20"/>
    </row>
    <row r="108" spans="1:29" s="188" customFormat="1" ht="8.25" hidden="1" customHeight="true" outlineLevel="2" x14ac:dyDescent="0.2">
      <c r="A108" s="173"/>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c r="AC108" s="20"/>
    </row>
    <row r="109" spans="1:29" s="188" customFormat="1" ht="7.5" customHeight="true" outlineLevel="1" collapsed="1" x14ac:dyDescent="0.2">
      <c r="A109" s="173"/>
      <c r="B109" s="20"/>
      <c r="C109" s="20"/>
      <c r="D109" s="20"/>
      <c r="E109" s="20"/>
      <c r="F109" s="20"/>
      <c r="G109" s="20"/>
      <c r="H109" s="20"/>
      <c r="I109" s="20"/>
      <c r="J109" s="20"/>
      <c r="K109" s="20"/>
      <c r="L109" s="20"/>
      <c r="M109" s="20"/>
      <c r="N109" s="20"/>
      <c r="O109" s="20"/>
      <c r="P109" s="20"/>
      <c r="Q109" s="20"/>
      <c r="R109" s="20"/>
      <c r="S109" s="20"/>
      <c r="T109" s="20"/>
      <c r="U109" s="20"/>
      <c r="V109" s="20"/>
      <c r="W109" s="20"/>
      <c r="X109" s="20"/>
      <c r="Y109" s="20"/>
      <c r="Z109" s="20"/>
      <c r="AA109" s="20"/>
      <c r="AB109" s="20"/>
      <c r="AC109" s="20"/>
    </row>
    <row r="110" spans="1:29" s="188" customFormat="1" ht="7.5" customHeight="true" outlineLevel="1" thickBot="1" x14ac:dyDescent="0.25">
      <c r="A110" s="173"/>
      <c r="B110" s="20"/>
      <c r="C110" s="20"/>
      <c r="D110" s="20"/>
      <c r="E110" s="20"/>
      <c r="F110" s="20"/>
      <c r="G110" s="20"/>
      <c r="H110" s="20"/>
      <c r="I110" s="20"/>
      <c r="J110" s="20"/>
      <c r="K110" s="20"/>
      <c r="L110" s="20"/>
      <c r="M110" s="20"/>
      <c r="N110" s="20"/>
      <c r="O110" s="20"/>
      <c r="P110" s="20"/>
      <c r="Q110" s="20"/>
      <c r="R110" s="20"/>
      <c r="S110" s="20"/>
      <c r="T110" s="20"/>
      <c r="U110" s="20"/>
      <c r="V110" s="20"/>
      <c r="W110" s="20"/>
      <c r="X110" s="20"/>
      <c r="Y110" s="20"/>
      <c r="Z110" s="20"/>
      <c r="AA110" s="20"/>
      <c r="AB110" s="20"/>
      <c r="AC110" s="20"/>
    </row>
    <row r="111" spans="1:29" s="188" customFormat="1" ht="8.25" hidden="1" customHeight="true" outlineLevel="2" x14ac:dyDescent="0.2">
      <c r="A111" s="173"/>
      <c r="B111" s="20"/>
      <c r="C111" s="20"/>
      <c r="D111" s="20"/>
      <c r="E111" s="20"/>
      <c r="F111" s="20"/>
      <c r="G111" s="20"/>
      <c r="H111" s="20"/>
      <c r="I111" s="20"/>
      <c r="J111" s="20"/>
      <c r="K111" s="20"/>
      <c r="L111" s="20"/>
      <c r="M111" s="20"/>
      <c r="N111" s="20"/>
      <c r="O111" s="20"/>
      <c r="P111" s="20"/>
      <c r="Q111" s="20"/>
      <c r="R111" s="20"/>
      <c r="S111" s="20"/>
      <c r="T111" s="20"/>
      <c r="U111" s="20"/>
      <c r="V111" s="20"/>
      <c r="W111" s="20"/>
      <c r="X111" s="20"/>
      <c r="Y111" s="20"/>
      <c r="Z111" s="20"/>
      <c r="AA111" s="20"/>
      <c r="AB111" s="20"/>
      <c r="AC111" s="20"/>
    </row>
    <row r="112" spans="1:29" s="188" customFormat="1" ht="8.25" hidden="1" customHeight="true" outlineLevel="2" thickBot="1" x14ac:dyDescent="0.25">
      <c r="A112" s="173"/>
      <c r="B112" s="20"/>
      <c r="C112" s="20"/>
      <c r="D112" s="20"/>
      <c r="E112" s="20"/>
      <c r="F112" s="20"/>
      <c r="G112" s="20"/>
      <c r="H112" s="20"/>
      <c r="I112" s="20"/>
      <c r="J112" s="20"/>
      <c r="K112" s="20"/>
      <c r="L112" s="20"/>
      <c r="M112" s="20"/>
      <c r="N112" s="20"/>
      <c r="O112" s="20"/>
      <c r="P112" s="20"/>
      <c r="Q112" s="20"/>
      <c r="R112" s="20"/>
      <c r="S112" s="20"/>
      <c r="T112" s="20"/>
      <c r="U112" s="20"/>
      <c r="V112" s="20"/>
      <c r="W112" s="20"/>
      <c r="X112" s="20"/>
      <c r="Y112" s="20"/>
      <c r="Z112" s="20"/>
      <c r="AA112" s="20"/>
      <c r="AB112" s="20"/>
      <c r="AC112" s="20"/>
    </row>
    <row r="113" spans="1:88" s="15" customFormat="1" ht="7.5" customHeight="true" outlineLevel="1" collapsed="1" x14ac:dyDescent="0.2">
      <c r="A113" s="18"/>
      <c r="B113" s="18"/>
      <c r="C113" s="18"/>
      <c r="D113" s="18"/>
      <c r="E113" s="18"/>
      <c r="F113" s="18"/>
      <c r="G113" s="18"/>
      <c r="H113" s="18"/>
      <c r="I113" s="18"/>
      <c r="J113" s="18"/>
      <c r="K113" s="18"/>
      <c r="L113" s="18"/>
      <c r="M113" s="18"/>
      <c r="N113" s="18"/>
      <c r="O113" s="18"/>
      <c r="P113" s="18"/>
      <c r="Q113" s="18"/>
      <c r="R113" s="18"/>
      <c r="S113" s="18"/>
      <c r="T113" s="18"/>
      <c r="U113" s="18"/>
      <c r="V113" s="18"/>
      <c r="W113" s="18"/>
      <c r="X113" s="18"/>
      <c r="Y113" s="18"/>
      <c r="Z113" s="18"/>
      <c r="AA113" s="18"/>
      <c r="AB113" s="18"/>
      <c r="AC113" s="18"/>
    </row>
    <row r="114" spans="1:88" s="15" customFormat="1" ht="24.0" customHeight="true" x14ac:dyDescent="0.3">
      <c r="A114" s="51" t="s">
        <v>69</v>
      </c>
      <c r="B114" s="52"/>
      <c r="C114" s="52"/>
      <c r="D114" s="52"/>
      <c r="E114" s="52"/>
      <c r="F114" s="52"/>
      <c r="G114" s="52"/>
      <c r="H114" s="52"/>
      <c r="I114" s="52"/>
      <c r="J114" s="52"/>
      <c r="K114" s="52"/>
      <c r="L114" s="52"/>
      <c r="M114" s="52"/>
      <c r="N114" s="52"/>
      <c r="O114" s="52"/>
      <c r="P114" s="52"/>
      <c r="Q114" s="52"/>
      <c r="R114" s="52"/>
      <c r="S114" s="52"/>
      <c r="T114" s="52"/>
      <c r="U114" s="52"/>
      <c r="V114" s="52"/>
      <c r="W114" s="52"/>
      <c r="X114" s="52"/>
      <c r="Y114" s="52"/>
      <c r="Z114" s="52"/>
      <c r="AA114" s="52"/>
      <c r="AB114" s="52"/>
      <c r="AC114" s="52"/>
    </row>
    <row r="115" spans="1:88" s="19" customFormat="1" ht="12.0" thickBot="1" x14ac:dyDescent="0.25" customHeight="true">
      <c r="A115" s="75" t="n">
        <v>0.0</v>
      </c>
      <c r="B115" s="75" t="n">
        <v>1.0</v>
      </c>
      <c r="C115" s="75" t="n">
        <v>2.0</v>
      </c>
      <c r="D115" s="75" t="n">
        <v>3.0</v>
      </c>
      <c r="E115" s="75" t="n">
        <v>4.0</v>
      </c>
      <c r="F115" s="75" t="n">
        <v>5.0</v>
      </c>
      <c r="G115" s="75" t="n">
        <v>6.0</v>
      </c>
      <c r="H115" s="75" t="n">
        <v>7.0</v>
      </c>
      <c r="I115" s="75" t="n">
        <v>8.0</v>
      </c>
      <c r="J115" s="75" t="n">
        <v>9.0</v>
      </c>
      <c r="K115" s="75" t="n">
        <v>10.0</v>
      </c>
      <c r="L115" s="75" t="n">
        <v>11.0</v>
      </c>
      <c r="M115" s="75" t="n">
        <v>12.0</v>
      </c>
      <c r="N115" s="75" t="n">
        <v>13.0</v>
      </c>
      <c r="O115" s="75" t="n">
        <v>14.0</v>
      </c>
      <c r="P115" s="75" t="n">
        <v>15.0</v>
      </c>
      <c r="Q115" s="75" t="n">
        <v>16.0</v>
      </c>
      <c r="R115" s="75" t="n">
        <v>17.0</v>
      </c>
      <c r="S115" s="75" t="n">
        <v>18.0</v>
      </c>
      <c r="T115" s="75" t="n">
        <v>19.0</v>
      </c>
      <c r="U115" s="75" t="n">
        <v>20.0</v>
      </c>
      <c r="V115" s="75" t="n">
        <v>21.0</v>
      </c>
      <c r="W115" s="75" t="n">
        <v>22.0</v>
      </c>
      <c r="X115" s="75" t="n">
        <v>21.0</v>
      </c>
      <c r="Y115" s="75">
        <v>24</v>
      </c>
      <c r="Z115" s="75">
        <v>25</v>
      </c>
      <c r="AA115" s="75">
        <v>26</v>
      </c>
      <c r="AB115" s="75">
        <v>27</v>
      </c>
      <c r="AC115" s="75">
        <v>28</v>
      </c>
    </row>
    <row r="116" spans="1:88" s="15" customFormat="1" ht="39.75" customHeight="true" outlineLevel="1" x14ac:dyDescent="0.2">
      <c r="A116" s="412" t="s">
        <v>611</v>
      </c>
      <c r="B116" s="412"/>
      <c r="C116" s="412"/>
      <c r="D116" s="412"/>
      <c r="E116" s="412"/>
      <c r="F116" s="412"/>
      <c r="G116" s="412"/>
      <c r="H116" s="413"/>
      <c r="I116" s="402" t="s">
        <v>612</v>
      </c>
      <c r="J116" s="403"/>
      <c r="K116" s="403"/>
      <c r="L116" s="403"/>
      <c r="M116" s="403"/>
      <c r="N116" s="403"/>
      <c r="O116" s="403"/>
      <c r="P116" s="404"/>
      <c r="Q116" s="167" t="s">
        <v>68</v>
      </c>
      <c r="R116" s="165"/>
      <c r="S116" s="165"/>
      <c r="T116" s="165"/>
      <c r="U116" s="165"/>
      <c r="V116" s="165"/>
      <c r="W116" s="165"/>
      <c r="X116" s="166"/>
    </row>
    <row r="117" spans="1:88" s="11" customFormat="1" ht="36.0" customHeight="true" outlineLevel="1" thickBot="1" x14ac:dyDescent="0.25">
      <c r="A117" s="62"/>
      <c r="B117" s="32" t="s">
        <v>16</v>
      </c>
      <c r="C117" s="32" t="s">
        <v>74</v>
      </c>
      <c r="D117" s="32" t="s">
        <v>31</v>
      </c>
      <c r="E117" s="32" t="s">
        <v>73</v>
      </c>
      <c r="F117" s="32" t="s">
        <v>30</v>
      </c>
      <c r="G117" s="32" t="s">
        <v>39</v>
      </c>
      <c r="H117" s="48"/>
      <c r="I117" s="40"/>
      <c r="J117" s="211" t="s">
        <v>613</v>
      </c>
      <c r="K117" s="60" t="s">
        <v>28</v>
      </c>
      <c r="L117" s="60" t="s">
        <v>75</v>
      </c>
      <c r="M117" s="60" t="s">
        <v>29</v>
      </c>
      <c r="N117" s="60" t="s">
        <v>73</v>
      </c>
      <c r="O117" s="60" t="s">
        <v>30</v>
      </c>
      <c r="P117" s="53"/>
      <c r="Q117" s="54"/>
      <c r="R117" s="13" t="s">
        <v>65</v>
      </c>
      <c r="S117" s="14" t="s">
        <v>66</v>
      </c>
      <c r="T117" s="14" t="s">
        <v>531</v>
      </c>
      <c r="U117" s="14" t="s">
        <v>532</v>
      </c>
      <c r="V117" s="14" t="s">
        <v>1068</v>
      </c>
      <c r="W117" s="14" t="s">
        <v>1069</v>
      </c>
      <c r="X117" s="263"/>
    </row>
    <row r="118" spans="1:88" s="22" customFormat="1" ht="23.25" customHeight="true" outlineLevel="1" x14ac:dyDescent="0.2">
      <c r="A118" s="29"/>
      <c r="B118" s="88" t="s">
        <v>1397</v>
      </c>
      <c r="C118" s="124" t="s">
        <v>1398</v>
      </c>
      <c r="D118" s="89" t="s">
        <v>1399</v>
      </c>
      <c r="E118" s="89"/>
      <c r="F118" s="89" t="s">
        <v>1400</v>
      </c>
      <c r="G118" s="90"/>
      <c r="H118" s="44"/>
      <c r="I118" s="40"/>
      <c r="J118" s="212"/>
      <c r="K118" s="184"/>
      <c r="L118" s="184"/>
      <c r="M118" s="185"/>
      <c r="N118" s="37"/>
      <c r="O118" s="39"/>
      <c r="P118" s="53"/>
      <c r="Q118" s="55"/>
      <c r="R118" s="134" t="s">
        <v>17</v>
      </c>
      <c r="S118" s="135" t="s">
        <v>17</v>
      </c>
      <c r="T118" s="135" t="s">
        <v>17</v>
      </c>
      <c r="U118" s="135" t="s">
        <v>17</v>
      </c>
      <c r="V118" s="265"/>
      <c r="W118" s="265"/>
      <c r="X118" s="263"/>
      <c r="Y118" s="1" t="str">
        <f>IF(K118&lt;&gt;"",K118,IF(B118&lt;&gt;"",B118,"_"))</f>
        <v>BP_CODE</v>
      </c>
      <c r="Z118" s="1" t="str">
        <f>IF(M118&lt;&gt;"",M118,IF(D118&lt;&gt;"",D118,"_"))</f>
        <v>int</v>
      </c>
      <c r="AA118" s="21"/>
      <c r="AB118" s="21"/>
      <c r="AC118" s="21"/>
      <c r="AD118" s="21"/>
      <c r="AE118" s="21"/>
      <c r="AF118" s="21"/>
      <c r="AG118" s="21"/>
      <c r="AH118" s="21"/>
      <c r="AI118" s="21"/>
      <c r="AJ118" s="21"/>
      <c r="AK118" s="21"/>
      <c r="AL118" s="21"/>
      <c r="AM118" s="21"/>
      <c r="AN118" s="21"/>
      <c r="AO118" s="21"/>
      <c r="AP118" s="21"/>
      <c r="AQ118" s="21"/>
      <c r="AR118" s="21"/>
      <c r="AS118" s="21"/>
      <c r="AT118" s="21"/>
      <c r="AU118" s="21"/>
      <c r="AV118" s="21"/>
      <c r="AW118" s="21"/>
      <c r="AX118" s="21"/>
      <c r="AY118" s="21"/>
      <c r="AZ118" s="21"/>
      <c r="BA118" s="21"/>
      <c r="BB118" s="21"/>
      <c r="BC118" s="21"/>
      <c r="BD118" s="21"/>
      <c r="BE118" s="21"/>
      <c r="BF118" s="21"/>
      <c r="BG118" s="21"/>
      <c r="BH118" s="21"/>
      <c r="BI118" s="21"/>
      <c r="BJ118" s="21"/>
      <c r="BK118" s="21"/>
      <c r="BL118" s="21"/>
      <c r="BM118" s="21"/>
      <c r="BN118" s="21"/>
      <c r="BO118" s="21"/>
      <c r="BP118" s="21"/>
      <c r="BQ118" s="21"/>
      <c r="BR118" s="21"/>
      <c r="BS118" s="21"/>
      <c r="BT118" s="21"/>
      <c r="BU118" s="21"/>
      <c r="BV118" s="21"/>
      <c r="BW118" s="21"/>
      <c r="BX118" s="21"/>
      <c r="BY118" s="21"/>
      <c r="BZ118" s="21"/>
      <c r="CA118" s="21"/>
      <c r="CB118" s="21"/>
      <c r="CC118" s="21"/>
      <c r="CD118" s="21"/>
      <c r="CE118" s="21"/>
      <c r="CF118" s="21"/>
      <c r="CG118" s="21"/>
      <c r="CH118" s="21"/>
      <c r="CI118" s="21"/>
      <c r="CJ118" s="21"/>
    </row>
    <row r="119" spans="1:88" s="22" customFormat="1" ht="23.25" customHeight="true" outlineLevel="1" x14ac:dyDescent="0.2">
      <c r="A119" s="29"/>
      <c r="B119" s="88" t="s">
        <v>1401</v>
      </c>
      <c r="C119" s="124" t="s">
        <v>1402</v>
      </c>
      <c r="D119" s="89" t="s">
        <v>1403</v>
      </c>
      <c r="E119" s="89"/>
      <c r="F119" s="89"/>
      <c r="G119" s="90"/>
      <c r="H119" s="44"/>
      <c r="I119" s="40"/>
      <c r="J119" s="212"/>
      <c r="K119" s="184"/>
      <c r="L119" s="184"/>
      <c r="M119" s="185"/>
      <c r="N119" s="37"/>
      <c r="O119" s="39"/>
      <c r="P119" s="53"/>
      <c r="Q119" s="55"/>
      <c r="R119" s="134" t="s">
        <v>17</v>
      </c>
      <c r="S119" s="135" t="s">
        <v>1404</v>
      </c>
      <c r="T119" s="135" t="s">
        <v>17</v>
      </c>
      <c r="U119" s="135" t="s">
        <v>17</v>
      </c>
      <c r="V119" s="265"/>
      <c r="W119" s="265"/>
      <c r="X119" s="263"/>
      <c r="Y119" s="1" t="str">
        <f t="shared" ref="Y119:Y182" si="0">IF(K119&lt;&gt;"",K119,IF(B119&lt;&gt;"",B119,"_"))</f>
        <v>BP_LIBEL</v>
      </c>
      <c r="Z119" s="1" t="str">
        <f t="shared" ref="Z119:Z182" si="1">IF(M119&lt;&gt;"",M119,IF(D119&lt;&gt;"",D119,"_"))</f>
        <v>string</v>
      </c>
      <c r="AA119" s="21"/>
      <c r="AB119" s="21"/>
      <c r="AC119" s="21"/>
      <c r="AD119" s="21"/>
      <c r="AE119" s="21"/>
      <c r="AF119" s="21"/>
      <c r="AG119" s="21"/>
      <c r="AH119" s="21"/>
      <c r="AI119" s="21"/>
      <c r="AJ119" s="21"/>
      <c r="AK119" s="21"/>
      <c r="AL119" s="21"/>
      <c r="AM119" s="21"/>
      <c r="AN119" s="21"/>
      <c r="AO119" s="21"/>
      <c r="AP119" s="21"/>
      <c r="AQ119" s="21"/>
      <c r="AR119" s="21"/>
      <c r="AS119" s="21"/>
      <c r="AT119" s="21"/>
      <c r="AU119" s="21"/>
      <c r="AV119" s="21"/>
      <c r="AW119" s="21"/>
      <c r="AX119" s="21"/>
      <c r="AY119" s="21"/>
      <c r="AZ119" s="21"/>
      <c r="BA119" s="21"/>
      <c r="BB119" s="21"/>
      <c r="BC119" s="21"/>
      <c r="BD119" s="21"/>
      <c r="BE119" s="21"/>
      <c r="BF119" s="21"/>
      <c r="BG119" s="21"/>
      <c r="BH119" s="21"/>
      <c r="BI119" s="21"/>
      <c r="BJ119" s="21"/>
      <c r="BK119" s="21"/>
      <c r="BL119" s="21"/>
      <c r="BM119" s="21"/>
      <c r="BN119" s="21"/>
      <c r="BO119" s="21"/>
      <c r="BP119" s="21"/>
      <c r="BQ119" s="21"/>
      <c r="BR119" s="21"/>
      <c r="BS119" s="21"/>
      <c r="BT119" s="21"/>
      <c r="BU119" s="21"/>
      <c r="BV119" s="21"/>
      <c r="BW119" s="21"/>
      <c r="BX119" s="21"/>
      <c r="BY119" s="21"/>
      <c r="BZ119" s="21"/>
      <c r="CA119" s="21"/>
      <c r="CB119" s="21"/>
      <c r="CC119" s="21"/>
      <c r="CD119" s="21"/>
      <c r="CE119" s="21"/>
      <c r="CF119" s="21"/>
      <c r="CG119" s="21"/>
      <c r="CH119" s="21"/>
      <c r="CI119" s="21"/>
      <c r="CJ119" s="21"/>
    </row>
    <row r="120" spans="1:88" s="22" customFormat="1" ht="23.25" customHeight="true" outlineLevel="1" x14ac:dyDescent="0.2">
      <c r="A120" s="29"/>
      <c r="B120" s="88" t="s">
        <v>1405</v>
      </c>
      <c r="C120" s="124" t="s">
        <v>1406</v>
      </c>
      <c r="D120" s="89" t="s">
        <v>1399</v>
      </c>
      <c r="E120" s="89"/>
      <c r="F120" s="89"/>
      <c r="G120" s="90"/>
      <c r="H120" s="44"/>
      <c r="I120" s="40"/>
      <c r="J120" s="212"/>
      <c r="K120" s="184"/>
      <c r="L120" s="184"/>
      <c r="M120" s="185"/>
      <c r="N120" s="37"/>
      <c r="O120" s="39"/>
      <c r="P120" s="53"/>
      <c r="Q120" s="55"/>
      <c r="R120" s="134" t="s">
        <v>17</v>
      </c>
      <c r="S120" s="135" t="s">
        <v>17</v>
      </c>
      <c r="T120" s="135" t="s">
        <v>17</v>
      </c>
      <c r="U120" s="135" t="s">
        <v>17</v>
      </c>
      <c r="V120" s="265"/>
      <c r="W120" s="265"/>
      <c r="X120" s="263"/>
      <c r="Y120" s="1" t="str">
        <f t="shared" si="0"/>
        <v>CIB_ID</v>
      </c>
      <c r="Z120" s="1" t="str">
        <f t="shared" si="1"/>
        <v>int</v>
      </c>
      <c r="AA120" s="21"/>
      <c r="AB120" s="21"/>
      <c r="AC120" s="21"/>
      <c r="AD120" s="21"/>
      <c r="AE120" s="21"/>
      <c r="AF120" s="21"/>
      <c r="AG120" s="21"/>
      <c r="AH120" s="21"/>
      <c r="AI120" s="21"/>
      <c r="AJ120" s="21"/>
      <c r="AK120" s="21"/>
      <c r="AL120" s="21"/>
      <c r="AM120" s="21"/>
      <c r="AN120" s="21"/>
      <c r="AO120" s="21"/>
      <c r="AP120" s="21"/>
      <c r="AQ120" s="21"/>
      <c r="AR120" s="21"/>
      <c r="AS120" s="21"/>
      <c r="AT120" s="21"/>
      <c r="AU120" s="21"/>
      <c r="AV120" s="21"/>
      <c r="AW120" s="21"/>
      <c r="AX120" s="21"/>
      <c r="AY120" s="21"/>
      <c r="AZ120" s="21"/>
      <c r="BA120" s="21"/>
      <c r="BB120" s="21"/>
      <c r="BC120" s="21"/>
      <c r="BD120" s="21"/>
      <c r="BE120" s="21"/>
      <c r="BF120" s="21"/>
      <c r="BG120" s="21"/>
      <c r="BH120" s="21"/>
      <c r="BI120" s="21"/>
      <c r="BJ120" s="21"/>
      <c r="BK120" s="21"/>
      <c r="BL120" s="21"/>
      <c r="BM120" s="21"/>
      <c r="BN120" s="21"/>
      <c r="BO120" s="21"/>
      <c r="BP120" s="21"/>
      <c r="BQ120" s="21"/>
      <c r="BR120" s="21"/>
      <c r="BS120" s="21"/>
      <c r="BT120" s="21"/>
      <c r="BU120" s="21"/>
      <c r="BV120" s="21"/>
      <c r="BW120" s="21"/>
      <c r="BX120" s="21"/>
      <c r="BY120" s="21"/>
      <c r="BZ120" s="21"/>
      <c r="CA120" s="21"/>
      <c r="CB120" s="21"/>
      <c r="CC120" s="21"/>
      <c r="CD120" s="21"/>
      <c r="CE120" s="21"/>
      <c r="CF120" s="21"/>
      <c r="CG120" s="21"/>
      <c r="CH120" s="21"/>
      <c r="CI120" s="21"/>
      <c r="CJ120" s="21"/>
    </row>
    <row r="121" spans="1:88" s="24" customFormat="1" ht="23.25" customHeight="true" outlineLevel="1" x14ac:dyDescent="0.2">
      <c r="A121" s="29"/>
      <c r="B121" s="88" t="s">
        <v>1407</v>
      </c>
      <c r="C121" s="124" t="s">
        <v>1408</v>
      </c>
      <c r="D121" s="89" t="s">
        <v>1403</v>
      </c>
      <c r="E121" s="89"/>
      <c r="F121" s="89"/>
      <c r="G121" s="90"/>
      <c r="H121" s="44"/>
      <c r="I121" s="40"/>
      <c r="J121" s="212"/>
      <c r="K121" s="184"/>
      <c r="L121" s="184"/>
      <c r="M121" s="185"/>
      <c r="N121" s="37"/>
      <c r="O121" s="39"/>
      <c r="P121" s="53"/>
      <c r="Q121" s="55"/>
      <c r="R121" s="134" t="s">
        <v>17</v>
      </c>
      <c r="S121" s="135" t="s">
        <v>17</v>
      </c>
      <c r="T121" s="135" t="s">
        <v>17</v>
      </c>
      <c r="U121" s="135" t="s">
        <v>17</v>
      </c>
      <c r="V121" s="265"/>
      <c r="W121" s="265"/>
      <c r="X121" s="263"/>
      <c r="Y121" s="1" t="str">
        <f t="shared" si="0"/>
        <v>BYPASS_MOTIF</v>
      </c>
      <c r="Z121" s="1" t="str">
        <f t="shared" si="1"/>
        <v>string</v>
      </c>
      <c r="AA121" s="23"/>
      <c r="AB121" s="23"/>
      <c r="AC121" s="23"/>
      <c r="AD121" s="23"/>
      <c r="AE121" s="23"/>
      <c r="AF121" s="23"/>
      <c r="AG121" s="23"/>
      <c r="AH121" s="23"/>
      <c r="AI121" s="23"/>
      <c r="AJ121" s="23"/>
      <c r="AK121" s="23"/>
      <c r="AL121" s="23"/>
      <c r="AM121" s="23"/>
      <c r="AN121" s="23"/>
      <c r="AO121" s="23"/>
      <c r="AP121" s="23"/>
      <c r="AQ121" s="23"/>
      <c r="AR121" s="23"/>
      <c r="AS121" s="23"/>
      <c r="AT121" s="23"/>
      <c r="AU121" s="23"/>
      <c r="AV121" s="23"/>
      <c r="AW121" s="23"/>
      <c r="AX121" s="23"/>
      <c r="AY121" s="23"/>
      <c r="AZ121" s="23"/>
      <c r="BA121" s="23"/>
      <c r="BB121" s="23"/>
      <c r="BC121" s="23"/>
      <c r="BD121" s="23"/>
      <c r="BE121" s="23"/>
      <c r="BF121" s="23"/>
      <c r="BG121" s="23"/>
      <c r="BH121" s="23"/>
      <c r="BI121" s="23"/>
      <c r="BJ121" s="23"/>
      <c r="BK121" s="23"/>
      <c r="BL121" s="23"/>
      <c r="BM121" s="23"/>
      <c r="BN121" s="23"/>
      <c r="BO121" s="23"/>
      <c r="BP121" s="23"/>
      <c r="BQ121" s="23"/>
      <c r="BR121" s="23"/>
      <c r="BS121" s="23"/>
      <c r="BT121" s="23"/>
      <c r="BU121" s="23"/>
      <c r="BV121" s="23"/>
      <c r="BW121" s="23"/>
      <c r="BX121" s="23"/>
      <c r="BY121" s="23"/>
      <c r="BZ121" s="23"/>
      <c r="CA121" s="23"/>
      <c r="CB121" s="23"/>
      <c r="CC121" s="23"/>
      <c r="CD121" s="23"/>
      <c r="CE121" s="23"/>
      <c r="CF121" s="23"/>
      <c r="CG121" s="23"/>
      <c r="CH121" s="23"/>
      <c r="CI121" s="23"/>
      <c r="CJ121" s="23"/>
    </row>
    <row r="122" spans="1:88" s="22" customFormat="1" ht="23.25" customHeight="true" outlineLevel="1" x14ac:dyDescent="0.2">
      <c r="A122" s="29"/>
      <c r="B122" s="179"/>
      <c r="C122" s="124"/>
      <c r="D122" s="89"/>
      <c r="E122" s="89"/>
      <c r="F122" s="180"/>
      <c r="G122" s="181"/>
      <c r="H122" s="44"/>
      <c r="I122" s="40"/>
      <c r="J122" s="212"/>
      <c r="K122" s="184"/>
      <c r="L122" s="184"/>
      <c r="M122" s="185"/>
      <c r="N122" s="128"/>
      <c r="O122" s="129"/>
      <c r="P122" s="53"/>
      <c r="Q122" s="55"/>
      <c r="R122" s="137" t="s">
        <v>600</v>
      </c>
      <c r="S122" s="136" t="s">
        <v>600</v>
      </c>
      <c r="T122" s="136" t="s">
        <v>17</v>
      </c>
      <c r="U122" s="136" t="s">
        <v>17</v>
      </c>
      <c r="V122" s="136"/>
      <c r="W122" s="136"/>
      <c r="X122" s="263"/>
      <c r="Y122" s="1" t="str">
        <f t="shared" si="0"/>
        <v>_</v>
      </c>
      <c r="Z122" s="1" t="str">
        <f t="shared" si="1"/>
        <v>_</v>
      </c>
      <c r="AA122" s="21"/>
      <c r="AB122" s="21"/>
      <c r="AC122" s="21"/>
      <c r="AD122" s="21"/>
      <c r="AE122" s="21"/>
      <c r="AF122" s="21"/>
      <c r="AG122" s="21"/>
      <c r="AH122" s="21"/>
      <c r="AI122" s="21"/>
      <c r="AJ122" s="21"/>
      <c r="AK122" s="21"/>
      <c r="AL122" s="21"/>
      <c r="AM122" s="21"/>
      <c r="AN122" s="21"/>
      <c r="AO122" s="21"/>
      <c r="AP122" s="21"/>
      <c r="AQ122" s="21"/>
      <c r="AR122" s="21"/>
      <c r="AS122" s="21"/>
      <c r="AT122" s="21"/>
      <c r="AU122" s="21"/>
      <c r="AV122" s="21"/>
      <c r="AW122" s="21"/>
      <c r="AX122" s="21"/>
      <c r="AY122" s="21"/>
      <c r="AZ122" s="21"/>
      <c r="BA122" s="21"/>
      <c r="BB122" s="21"/>
      <c r="BC122" s="21"/>
      <c r="BD122" s="21"/>
      <c r="BE122" s="21"/>
      <c r="BF122" s="21"/>
      <c r="BG122" s="21"/>
      <c r="BH122" s="21"/>
      <c r="BI122" s="21"/>
      <c r="BJ122" s="21"/>
      <c r="BK122" s="21"/>
      <c r="BL122" s="21"/>
      <c r="BM122" s="21"/>
      <c r="BN122" s="21"/>
      <c r="BO122" s="21"/>
      <c r="BP122" s="21"/>
      <c r="BQ122" s="21"/>
      <c r="BR122" s="21"/>
      <c r="BS122" s="21"/>
      <c r="BT122" s="21"/>
      <c r="BU122" s="21"/>
      <c r="BV122" s="21"/>
      <c r="BW122" s="21"/>
      <c r="BX122" s="21"/>
      <c r="BY122" s="21"/>
      <c r="BZ122" s="21"/>
      <c r="CA122" s="21"/>
      <c r="CB122" s="21"/>
      <c r="CC122" s="21"/>
      <c r="CD122" s="21"/>
      <c r="CE122" s="21"/>
      <c r="CF122" s="21"/>
      <c r="CG122" s="21"/>
      <c r="CH122" s="21"/>
      <c r="CI122" s="21"/>
      <c r="CJ122" s="21"/>
    </row>
    <row r="123" spans="1:88" s="22" customFormat="1" ht="23.25" customHeight="true" outlineLevel="1" x14ac:dyDescent="0.2">
      <c r="A123" s="29"/>
      <c r="B123" s="179"/>
      <c r="C123" s="124"/>
      <c r="D123" s="89"/>
      <c r="E123" s="89"/>
      <c r="F123" s="182"/>
      <c r="G123" s="183"/>
      <c r="H123" s="44"/>
      <c r="I123" s="40"/>
      <c r="J123" s="212"/>
      <c r="K123" s="184"/>
      <c r="L123" s="184"/>
      <c r="M123" s="185"/>
      <c r="N123" s="128"/>
      <c r="O123" s="129"/>
      <c r="P123" s="53"/>
      <c r="Q123" s="55"/>
      <c r="R123" s="137" t="s">
        <v>600</v>
      </c>
      <c r="S123" s="136" t="s">
        <v>600</v>
      </c>
      <c r="T123" s="136" t="s">
        <v>17</v>
      </c>
      <c r="U123" s="136" t="s">
        <v>17</v>
      </c>
      <c r="V123" s="136"/>
      <c r="W123" s="136"/>
      <c r="X123" s="263"/>
      <c r="Y123" s="1" t="str">
        <f t="shared" si="0"/>
        <v>_</v>
      </c>
      <c r="Z123" s="1" t="str">
        <f t="shared" si="1"/>
        <v>_</v>
      </c>
      <c r="AA123" s="21"/>
      <c r="AB123" s="21"/>
      <c r="AC123" s="21"/>
      <c r="AD123" s="21"/>
      <c r="AE123" s="21"/>
      <c r="AF123" s="21"/>
      <c r="AG123" s="21"/>
      <c r="AH123" s="21"/>
      <c r="AI123" s="21"/>
      <c r="AJ123" s="21"/>
      <c r="AK123" s="21"/>
      <c r="AL123" s="21"/>
      <c r="AM123" s="21"/>
      <c r="AN123" s="21"/>
      <c r="AO123" s="21"/>
      <c r="AP123" s="21"/>
      <c r="AQ123" s="21"/>
      <c r="AR123" s="21"/>
      <c r="AS123" s="21"/>
      <c r="AT123" s="21"/>
      <c r="AU123" s="21"/>
      <c r="AV123" s="21"/>
      <c r="AW123" s="21"/>
      <c r="AX123" s="21"/>
      <c r="AY123" s="21"/>
      <c r="AZ123" s="21"/>
      <c r="BA123" s="21"/>
      <c r="BB123" s="21"/>
      <c r="BC123" s="21"/>
      <c r="BD123" s="21"/>
      <c r="BE123" s="21"/>
      <c r="BF123" s="21"/>
      <c r="BG123" s="21"/>
      <c r="BH123" s="21"/>
      <c r="BI123" s="21"/>
      <c r="BJ123" s="21"/>
      <c r="BK123" s="21"/>
      <c r="BL123" s="21"/>
      <c r="BM123" s="21"/>
      <c r="BN123" s="21"/>
      <c r="BO123" s="21"/>
      <c r="BP123" s="21"/>
      <c r="BQ123" s="21"/>
      <c r="BR123" s="21"/>
      <c r="BS123" s="21"/>
      <c r="BT123" s="21"/>
      <c r="BU123" s="21"/>
      <c r="BV123" s="21"/>
      <c r="BW123" s="21"/>
      <c r="BX123" s="21"/>
      <c r="BY123" s="21"/>
      <c r="BZ123" s="21"/>
      <c r="CA123" s="21"/>
      <c r="CB123" s="21"/>
      <c r="CC123" s="21"/>
      <c r="CD123" s="21"/>
      <c r="CE123" s="21"/>
      <c r="CF123" s="21"/>
      <c r="CG123" s="21"/>
      <c r="CH123" s="21"/>
      <c r="CI123" s="21"/>
      <c r="CJ123" s="21"/>
    </row>
    <row r="124" spans="1:88" s="22" customFormat="1" ht="23.25" customHeight="1" outlineLevel="1" x14ac:dyDescent="0.2">
      <c r="A124" s="29"/>
      <c r="B124" s="81"/>
      <c r="C124" s="124"/>
      <c r="D124" s="89"/>
      <c r="E124" s="91"/>
      <c r="F124" s="92"/>
      <c r="G124" s="133"/>
      <c r="H124" s="45"/>
      <c r="I124" s="41"/>
      <c r="J124" s="214"/>
      <c r="K124" s="37"/>
      <c r="L124" s="38"/>
      <c r="M124" s="38"/>
      <c r="N124" s="37"/>
      <c r="O124" s="39"/>
      <c r="P124" s="53"/>
      <c r="Q124" s="55"/>
      <c r="R124" s="137" t="s">
        <v>600</v>
      </c>
      <c r="S124" s="136" t="s">
        <v>600</v>
      </c>
      <c r="T124" s="136" t="s">
        <v>17</v>
      </c>
      <c r="U124" s="136" t="s">
        <v>17</v>
      </c>
      <c r="V124" s="136"/>
      <c r="W124" s="136"/>
      <c r="X124" s="263"/>
      <c r="Y124" s="1" t="str">
        <f t="shared" si="0"/>
        <v>_</v>
      </c>
      <c r="Z124" s="1" t="str">
        <f t="shared" si="1"/>
        <v>_</v>
      </c>
      <c r="AA124" s="21"/>
      <c r="AB124" s="21"/>
      <c r="AC124" s="21"/>
      <c r="AD124" s="21"/>
      <c r="AE124" s="21"/>
      <c r="AF124" s="21"/>
      <c r="AG124" s="21"/>
      <c r="AH124" s="21"/>
      <c r="AI124" s="21"/>
      <c r="AJ124" s="21"/>
      <c r="AK124" s="21"/>
      <c r="AL124" s="21"/>
      <c r="AM124" s="21"/>
      <c r="AN124" s="21"/>
      <c r="AO124" s="21"/>
      <c r="AP124" s="21"/>
      <c r="AQ124" s="21"/>
      <c r="AR124" s="21"/>
      <c r="AS124" s="21"/>
      <c r="AT124" s="21"/>
      <c r="AU124" s="21"/>
      <c r="AV124" s="21"/>
      <c r="AW124" s="21"/>
      <c r="AX124" s="21"/>
      <c r="AY124" s="21"/>
      <c r="AZ124" s="21"/>
      <c r="BA124" s="21"/>
      <c r="BB124" s="21"/>
      <c r="BC124" s="21"/>
      <c r="BD124" s="21"/>
      <c r="BE124" s="21"/>
      <c r="BF124" s="21"/>
      <c r="BG124" s="21"/>
      <c r="BH124" s="21"/>
      <c r="BI124" s="21"/>
      <c r="BJ124" s="21"/>
      <c r="BK124" s="21"/>
      <c r="BL124" s="21"/>
      <c r="BM124" s="21"/>
      <c r="BN124" s="21"/>
      <c r="BO124" s="21"/>
      <c r="BP124" s="21"/>
      <c r="BQ124" s="21"/>
      <c r="BR124" s="21"/>
      <c r="BS124" s="21"/>
      <c r="BT124" s="21"/>
      <c r="BU124" s="21"/>
      <c r="BV124" s="21"/>
      <c r="BW124" s="21"/>
      <c r="BX124" s="21"/>
      <c r="BY124" s="21"/>
      <c r="BZ124" s="21"/>
      <c r="CA124" s="21"/>
      <c r="CB124" s="21"/>
      <c r="CC124" s="21"/>
      <c r="CD124" s="21"/>
      <c r="CE124" s="21"/>
      <c r="CF124" s="21"/>
      <c r="CG124" s="21"/>
      <c r="CH124" s="21"/>
      <c r="CI124" s="21"/>
      <c r="CJ124" s="21"/>
    </row>
    <row r="125" spans="1:88" s="22" customFormat="1" ht="23.25" customHeight="1" outlineLevel="1" x14ac:dyDescent="0.2">
      <c r="A125" s="29"/>
      <c r="B125" s="81"/>
      <c r="C125" s="124"/>
      <c r="D125" s="89"/>
      <c r="E125" s="91"/>
      <c r="F125" s="92"/>
      <c r="G125" s="133"/>
      <c r="H125" s="45"/>
      <c r="I125" s="41"/>
      <c r="J125" s="214"/>
      <c r="K125" s="37"/>
      <c r="L125" s="38"/>
      <c r="M125" s="38"/>
      <c r="N125" s="37"/>
      <c r="O125" s="39"/>
      <c r="P125" s="53"/>
      <c r="Q125" s="55"/>
      <c r="R125" s="137" t="s">
        <v>600</v>
      </c>
      <c r="S125" s="136" t="s">
        <v>600</v>
      </c>
      <c r="T125" s="136" t="s">
        <v>17</v>
      </c>
      <c r="U125" s="136" t="s">
        <v>17</v>
      </c>
      <c r="V125" s="136"/>
      <c r="W125" s="136"/>
      <c r="X125" s="263"/>
      <c r="Y125" s="1" t="str">
        <f t="shared" si="0"/>
        <v>_</v>
      </c>
      <c r="Z125" s="1" t="str">
        <f t="shared" si="1"/>
        <v>_</v>
      </c>
      <c r="AA125" s="21"/>
      <c r="AB125" s="21"/>
      <c r="AC125" s="21"/>
      <c r="AD125" s="21"/>
      <c r="AE125" s="21"/>
      <c r="AF125" s="21"/>
      <c r="AG125" s="21"/>
      <c r="AH125" s="21"/>
      <c r="AI125" s="21"/>
      <c r="AJ125" s="21"/>
      <c r="AK125" s="21"/>
      <c r="AL125" s="21"/>
      <c r="AM125" s="21"/>
      <c r="AN125" s="21"/>
      <c r="AO125" s="21"/>
      <c r="AP125" s="21"/>
      <c r="AQ125" s="21"/>
      <c r="AR125" s="21"/>
      <c r="AS125" s="21"/>
      <c r="AT125" s="21"/>
      <c r="AU125" s="21"/>
      <c r="AV125" s="21"/>
      <c r="AW125" s="21"/>
      <c r="AX125" s="21"/>
      <c r="AY125" s="21"/>
      <c r="AZ125" s="21"/>
      <c r="BA125" s="21"/>
      <c r="BB125" s="21"/>
      <c r="BC125" s="21"/>
      <c r="BD125" s="21"/>
      <c r="BE125" s="21"/>
      <c r="BF125" s="21"/>
      <c r="BG125" s="21"/>
      <c r="BH125" s="21"/>
      <c r="BI125" s="21"/>
      <c r="BJ125" s="21"/>
      <c r="BK125" s="21"/>
      <c r="BL125" s="21"/>
      <c r="BM125" s="21"/>
      <c r="BN125" s="21"/>
      <c r="BO125" s="21"/>
      <c r="BP125" s="21"/>
      <c r="BQ125" s="21"/>
      <c r="BR125" s="21"/>
      <c r="BS125" s="21"/>
      <c r="BT125" s="21"/>
      <c r="BU125" s="21"/>
      <c r="BV125" s="21"/>
      <c r="BW125" s="21"/>
      <c r="BX125" s="21"/>
      <c r="BY125" s="21"/>
      <c r="BZ125" s="21"/>
      <c r="CA125" s="21"/>
      <c r="CB125" s="21"/>
      <c r="CC125" s="21"/>
      <c r="CD125" s="21"/>
      <c r="CE125" s="21"/>
      <c r="CF125" s="21"/>
      <c r="CG125" s="21"/>
      <c r="CH125" s="21"/>
      <c r="CI125" s="21"/>
      <c r="CJ125" s="21"/>
    </row>
    <row r="126" spans="1:88" s="22" customFormat="1" ht="23.25" customHeight="1" outlineLevel="1" x14ac:dyDescent="0.2">
      <c r="A126" s="29"/>
      <c r="B126" s="81"/>
      <c r="C126" s="124"/>
      <c r="D126" s="89"/>
      <c r="E126" s="91"/>
      <c r="F126" s="92"/>
      <c r="G126" s="133"/>
      <c r="H126" s="45"/>
      <c r="I126" s="41"/>
      <c r="J126" s="214"/>
      <c r="K126" s="37"/>
      <c r="L126" s="38"/>
      <c r="M126" s="38"/>
      <c r="N126" s="37"/>
      <c r="O126" s="39"/>
      <c r="P126" s="53"/>
      <c r="Q126" s="55"/>
      <c r="R126" s="137" t="s">
        <v>600</v>
      </c>
      <c r="S126" s="136" t="s">
        <v>600</v>
      </c>
      <c r="T126" s="136" t="s">
        <v>17</v>
      </c>
      <c r="U126" s="136" t="s">
        <v>17</v>
      </c>
      <c r="V126" s="136"/>
      <c r="W126" s="136"/>
      <c r="X126" s="263"/>
      <c r="Y126" s="1" t="str">
        <f t="shared" si="0"/>
        <v>_</v>
      </c>
      <c r="Z126" s="1" t="str">
        <f t="shared" si="1"/>
        <v>_</v>
      </c>
      <c r="AA126" s="21"/>
      <c r="AB126" s="21"/>
      <c r="AC126" s="21"/>
      <c r="AD126" s="21"/>
      <c r="AE126" s="21"/>
      <c r="AF126" s="21"/>
      <c r="AG126" s="21"/>
      <c r="AH126" s="21"/>
      <c r="AI126" s="21"/>
      <c r="AJ126" s="21"/>
      <c r="AK126" s="21"/>
      <c r="AL126" s="21"/>
      <c r="AM126" s="21"/>
      <c r="AN126" s="21"/>
      <c r="AO126" s="21"/>
      <c r="AP126" s="21"/>
      <c r="AQ126" s="21"/>
      <c r="AR126" s="21"/>
      <c r="AS126" s="21"/>
      <c r="AT126" s="21"/>
      <c r="AU126" s="21"/>
      <c r="AV126" s="21"/>
      <c r="AW126" s="21"/>
      <c r="AX126" s="21"/>
      <c r="AY126" s="21"/>
      <c r="AZ126" s="21"/>
      <c r="BA126" s="21"/>
      <c r="BB126" s="21"/>
      <c r="BC126" s="21"/>
      <c r="BD126" s="21"/>
      <c r="BE126" s="21"/>
      <c r="BF126" s="21"/>
      <c r="BG126" s="21"/>
      <c r="BH126" s="21"/>
      <c r="BI126" s="21"/>
      <c r="BJ126" s="21"/>
      <c r="BK126" s="21"/>
      <c r="BL126" s="21"/>
      <c r="BM126" s="21"/>
      <c r="BN126" s="21"/>
      <c r="BO126" s="21"/>
      <c r="BP126" s="21"/>
      <c r="BQ126" s="21"/>
      <c r="BR126" s="21"/>
      <c r="BS126" s="21"/>
      <c r="BT126" s="21"/>
      <c r="BU126" s="21"/>
      <c r="BV126" s="21"/>
      <c r="BW126" s="21"/>
      <c r="BX126" s="21"/>
      <c r="BY126" s="21"/>
      <c r="BZ126" s="21"/>
      <c r="CA126" s="21"/>
      <c r="CB126" s="21"/>
      <c r="CC126" s="21"/>
      <c r="CD126" s="21"/>
      <c r="CE126" s="21"/>
      <c r="CF126" s="21"/>
      <c r="CG126" s="21"/>
      <c r="CH126" s="21"/>
      <c r="CI126" s="21"/>
      <c r="CJ126" s="21"/>
    </row>
    <row r="127" spans="1:88" s="22" customFormat="1" ht="23.25" customHeight="1" outlineLevel="1" x14ac:dyDescent="0.2">
      <c r="A127" s="29"/>
      <c r="B127" s="81"/>
      <c r="C127" s="124"/>
      <c r="D127" s="89"/>
      <c r="E127" s="91"/>
      <c r="F127" s="92"/>
      <c r="G127" s="133"/>
      <c r="H127" s="45"/>
      <c r="I127" s="41"/>
      <c r="J127" s="214"/>
      <c r="K127" s="37"/>
      <c r="L127" s="38"/>
      <c r="M127" s="38"/>
      <c r="N127" s="37"/>
      <c r="O127" s="39"/>
      <c r="P127" s="53"/>
      <c r="Q127" s="55"/>
      <c r="R127" s="137" t="s">
        <v>600</v>
      </c>
      <c r="S127" s="136" t="s">
        <v>600</v>
      </c>
      <c r="T127" s="136" t="s">
        <v>17</v>
      </c>
      <c r="U127" s="136" t="s">
        <v>17</v>
      </c>
      <c r="V127" s="136"/>
      <c r="W127" s="136"/>
      <c r="X127" s="263"/>
      <c r="Y127" s="1" t="str">
        <f t="shared" si="0"/>
        <v>_</v>
      </c>
      <c r="Z127" s="1" t="str">
        <f t="shared" si="1"/>
        <v>_</v>
      </c>
      <c r="AA127" s="21"/>
      <c r="AB127" s="21"/>
      <c r="AC127" s="21"/>
      <c r="AD127" s="21"/>
      <c r="AE127" s="21"/>
      <c r="AF127" s="21"/>
      <c r="AG127" s="21"/>
      <c r="AH127" s="21"/>
      <c r="AI127" s="21"/>
      <c r="AJ127" s="21"/>
      <c r="AK127" s="21"/>
      <c r="AL127" s="21"/>
      <c r="AM127" s="21"/>
      <c r="AN127" s="21"/>
      <c r="AO127" s="21"/>
      <c r="AP127" s="21"/>
      <c r="AQ127" s="21"/>
      <c r="AR127" s="21"/>
      <c r="AS127" s="21"/>
      <c r="AT127" s="21"/>
      <c r="AU127" s="21"/>
      <c r="AV127" s="21"/>
      <c r="AW127" s="21"/>
      <c r="AX127" s="21"/>
      <c r="AY127" s="21"/>
      <c r="AZ127" s="21"/>
      <c r="BA127" s="21"/>
      <c r="BB127" s="21"/>
      <c r="BC127" s="21"/>
      <c r="BD127" s="21"/>
      <c r="BE127" s="21"/>
      <c r="BF127" s="21"/>
      <c r="BG127" s="21"/>
      <c r="BH127" s="21"/>
      <c r="BI127" s="21"/>
      <c r="BJ127" s="21"/>
      <c r="BK127" s="21"/>
      <c r="BL127" s="21"/>
      <c r="BM127" s="21"/>
      <c r="BN127" s="21"/>
      <c r="BO127" s="21"/>
      <c r="BP127" s="21"/>
      <c r="BQ127" s="21"/>
      <c r="BR127" s="21"/>
      <c r="BS127" s="21"/>
      <c r="BT127" s="21"/>
      <c r="BU127" s="21"/>
      <c r="BV127" s="21"/>
      <c r="BW127" s="21"/>
      <c r="BX127" s="21"/>
      <c r="BY127" s="21"/>
      <c r="BZ127" s="21"/>
      <c r="CA127" s="21"/>
      <c r="CB127" s="21"/>
      <c r="CC127" s="21"/>
      <c r="CD127" s="21"/>
      <c r="CE127" s="21"/>
      <c r="CF127" s="21"/>
      <c r="CG127" s="21"/>
      <c r="CH127" s="21"/>
      <c r="CI127" s="21"/>
      <c r="CJ127" s="21"/>
    </row>
    <row r="128" spans="1:88" s="22" customFormat="1" ht="23.25" customHeight="1" outlineLevel="1" x14ac:dyDescent="0.2">
      <c r="A128" s="29"/>
      <c r="B128" s="81"/>
      <c r="C128" s="82"/>
      <c r="D128" s="89"/>
      <c r="E128" s="91"/>
      <c r="F128" s="92"/>
      <c r="G128" s="133"/>
      <c r="H128" s="45"/>
      <c r="I128" s="41"/>
      <c r="J128" s="214"/>
      <c r="K128" s="37"/>
      <c r="L128" s="38"/>
      <c r="M128" s="38"/>
      <c r="N128" s="37"/>
      <c r="O128" s="39"/>
      <c r="P128" s="53"/>
      <c r="Q128" s="55"/>
      <c r="R128" s="137" t="s">
        <v>600</v>
      </c>
      <c r="S128" s="136" t="s">
        <v>600</v>
      </c>
      <c r="T128" s="136" t="s">
        <v>17</v>
      </c>
      <c r="U128" s="136" t="s">
        <v>17</v>
      </c>
      <c r="V128" s="136"/>
      <c r="W128" s="136"/>
      <c r="X128" s="263"/>
      <c r="Y128" s="1" t="str">
        <f t="shared" si="0"/>
        <v>_</v>
      </c>
      <c r="Z128" s="1" t="str">
        <f t="shared" si="1"/>
        <v>_</v>
      </c>
      <c r="AA128" s="21"/>
      <c r="AB128" s="21"/>
      <c r="AC128" s="21"/>
      <c r="AD128" s="21"/>
      <c r="AE128" s="21"/>
      <c r="AF128" s="21"/>
      <c r="AG128" s="21"/>
      <c r="AH128" s="21"/>
      <c r="AI128" s="21"/>
      <c r="AJ128" s="21"/>
      <c r="AK128" s="21"/>
      <c r="AL128" s="21"/>
      <c r="AM128" s="21"/>
      <c r="AN128" s="21"/>
      <c r="AO128" s="21"/>
      <c r="AP128" s="21"/>
      <c r="AQ128" s="21"/>
      <c r="AR128" s="21"/>
      <c r="AS128" s="21"/>
      <c r="AT128" s="21"/>
      <c r="AU128" s="21"/>
      <c r="AV128" s="21"/>
      <c r="AW128" s="21"/>
      <c r="AX128" s="21"/>
      <c r="AY128" s="21"/>
      <c r="AZ128" s="21"/>
      <c r="BA128" s="21"/>
      <c r="BB128" s="21"/>
      <c r="BC128" s="21"/>
      <c r="BD128" s="21"/>
      <c r="BE128" s="21"/>
      <c r="BF128" s="21"/>
      <c r="BG128" s="21"/>
      <c r="BH128" s="21"/>
      <c r="BI128" s="21"/>
      <c r="BJ128" s="21"/>
      <c r="BK128" s="21"/>
      <c r="BL128" s="21"/>
      <c r="BM128" s="21"/>
      <c r="BN128" s="21"/>
      <c r="BO128" s="21"/>
      <c r="BP128" s="21"/>
      <c r="BQ128" s="21"/>
      <c r="BR128" s="21"/>
      <c r="BS128" s="21"/>
      <c r="BT128" s="21"/>
      <c r="BU128" s="21"/>
      <c r="BV128" s="21"/>
      <c r="BW128" s="21"/>
      <c r="BX128" s="21"/>
      <c r="BY128" s="21"/>
      <c r="BZ128" s="21"/>
      <c r="CA128" s="21"/>
      <c r="CB128" s="21"/>
      <c r="CC128" s="21"/>
      <c r="CD128" s="21"/>
      <c r="CE128" s="21"/>
      <c r="CF128" s="21"/>
      <c r="CG128" s="21"/>
      <c r="CH128" s="21"/>
      <c r="CI128" s="21"/>
      <c r="CJ128" s="21"/>
    </row>
    <row r="129" spans="1:88" s="22" customFormat="1" ht="23.25" customHeight="1" outlineLevel="1" x14ac:dyDescent="0.2">
      <c r="A129" s="29"/>
      <c r="B129" s="81"/>
      <c r="C129" s="82"/>
      <c r="D129" s="89"/>
      <c r="E129" s="91"/>
      <c r="F129" s="92"/>
      <c r="G129" s="133"/>
      <c r="H129" s="45"/>
      <c r="I129" s="41"/>
      <c r="J129" s="214"/>
      <c r="K129" s="37"/>
      <c r="L129" s="38"/>
      <c r="M129" s="38"/>
      <c r="N129" s="37"/>
      <c r="O129" s="39"/>
      <c r="P129" s="53"/>
      <c r="Q129" s="55"/>
      <c r="R129" s="137" t="s">
        <v>600</v>
      </c>
      <c r="S129" s="136" t="s">
        <v>600</v>
      </c>
      <c r="T129" s="136" t="s">
        <v>17</v>
      </c>
      <c r="U129" s="136" t="s">
        <v>17</v>
      </c>
      <c r="V129" s="136"/>
      <c r="W129" s="136"/>
      <c r="X129" s="263"/>
      <c r="Y129" s="1" t="str">
        <f t="shared" si="0"/>
        <v>_</v>
      </c>
      <c r="Z129" s="1" t="str">
        <f t="shared" si="1"/>
        <v>_</v>
      </c>
      <c r="AA129" s="21"/>
      <c r="AB129" s="21"/>
      <c r="AC129" s="21"/>
      <c r="AD129" s="21"/>
      <c r="AE129" s="21"/>
      <c r="AF129" s="21"/>
      <c r="AG129" s="21"/>
      <c r="AH129" s="21"/>
      <c r="AI129" s="21"/>
      <c r="AJ129" s="21"/>
      <c r="AK129" s="21"/>
      <c r="AL129" s="21"/>
      <c r="AM129" s="21"/>
      <c r="AN129" s="21"/>
      <c r="AO129" s="21"/>
      <c r="AP129" s="21"/>
      <c r="AQ129" s="21"/>
      <c r="AR129" s="21"/>
      <c r="AS129" s="21"/>
      <c r="AT129" s="21"/>
      <c r="AU129" s="21"/>
      <c r="AV129" s="21"/>
      <c r="AW129" s="21"/>
      <c r="AX129" s="21"/>
      <c r="AY129" s="21"/>
      <c r="AZ129" s="21"/>
      <c r="BA129" s="21"/>
      <c r="BB129" s="21"/>
      <c r="BC129" s="21"/>
      <c r="BD129" s="21"/>
      <c r="BE129" s="21"/>
      <c r="BF129" s="21"/>
      <c r="BG129" s="21"/>
      <c r="BH129" s="21"/>
      <c r="BI129" s="21"/>
      <c r="BJ129" s="21"/>
      <c r="BK129" s="21"/>
      <c r="BL129" s="21"/>
      <c r="BM129" s="21"/>
      <c r="BN129" s="21"/>
      <c r="BO129" s="21"/>
      <c r="BP129" s="21"/>
      <c r="BQ129" s="21"/>
      <c r="BR129" s="21"/>
      <c r="BS129" s="21"/>
      <c r="BT129" s="21"/>
      <c r="BU129" s="21"/>
      <c r="BV129" s="21"/>
      <c r="BW129" s="21"/>
      <c r="BX129" s="21"/>
      <c r="BY129" s="21"/>
      <c r="BZ129" s="21"/>
      <c r="CA129" s="21"/>
      <c r="CB129" s="21"/>
      <c r="CC129" s="21"/>
      <c r="CD129" s="21"/>
      <c r="CE129" s="21"/>
      <c r="CF129" s="21"/>
      <c r="CG129" s="21"/>
      <c r="CH129" s="21"/>
      <c r="CI129" s="21"/>
      <c r="CJ129" s="21"/>
    </row>
    <row r="130" spans="1:88" s="22" customFormat="1" ht="23.25" customHeight="1" outlineLevel="1" x14ac:dyDescent="0.2">
      <c r="A130" s="29"/>
      <c r="B130" s="81"/>
      <c r="C130" s="82"/>
      <c r="D130" s="89"/>
      <c r="E130" s="91"/>
      <c r="F130" s="92"/>
      <c r="G130" s="133"/>
      <c r="H130" s="45"/>
      <c r="I130" s="41"/>
      <c r="J130" s="214"/>
      <c r="K130" s="37"/>
      <c r="L130" s="38"/>
      <c r="M130" s="38"/>
      <c r="N130" s="37"/>
      <c r="O130" s="39"/>
      <c r="P130" s="53"/>
      <c r="Q130" s="55"/>
      <c r="R130" s="137" t="s">
        <v>600</v>
      </c>
      <c r="S130" s="136" t="s">
        <v>600</v>
      </c>
      <c r="T130" s="136" t="s">
        <v>17</v>
      </c>
      <c r="U130" s="136" t="s">
        <v>17</v>
      </c>
      <c r="V130" s="136"/>
      <c r="W130" s="136"/>
      <c r="X130" s="263"/>
      <c r="Y130" s="1" t="str">
        <f t="shared" si="0"/>
        <v>_</v>
      </c>
      <c r="Z130" s="1" t="str">
        <f t="shared" si="1"/>
        <v>_</v>
      </c>
      <c r="AA130" s="21"/>
      <c r="AB130" s="21"/>
      <c r="AC130" s="21"/>
      <c r="AD130" s="21"/>
      <c r="AE130" s="21"/>
      <c r="AF130" s="21"/>
      <c r="AG130" s="21"/>
      <c r="AH130" s="21"/>
      <c r="AI130" s="21"/>
      <c r="AJ130" s="21"/>
      <c r="AK130" s="21"/>
      <c r="AL130" s="21"/>
      <c r="AM130" s="21"/>
      <c r="AN130" s="21"/>
      <c r="AO130" s="21"/>
      <c r="AP130" s="21"/>
      <c r="AQ130" s="21"/>
      <c r="AR130" s="21"/>
      <c r="AS130" s="21"/>
      <c r="AT130" s="21"/>
      <c r="AU130" s="21"/>
      <c r="AV130" s="21"/>
      <c r="AW130" s="21"/>
      <c r="AX130" s="21"/>
      <c r="AY130" s="21"/>
      <c r="AZ130" s="21"/>
      <c r="BA130" s="21"/>
      <c r="BB130" s="21"/>
      <c r="BC130" s="21"/>
      <c r="BD130" s="21"/>
      <c r="BE130" s="21"/>
      <c r="BF130" s="21"/>
      <c r="BG130" s="21"/>
      <c r="BH130" s="21"/>
      <c r="BI130" s="21"/>
      <c r="BJ130" s="21"/>
      <c r="BK130" s="21"/>
      <c r="BL130" s="21"/>
      <c r="BM130" s="21"/>
      <c r="BN130" s="21"/>
      <c r="BO130" s="21"/>
      <c r="BP130" s="21"/>
      <c r="BQ130" s="21"/>
      <c r="BR130" s="21"/>
      <c r="BS130" s="21"/>
      <c r="BT130" s="21"/>
      <c r="BU130" s="21"/>
      <c r="BV130" s="21"/>
      <c r="BW130" s="21"/>
      <c r="BX130" s="21"/>
      <c r="BY130" s="21"/>
      <c r="BZ130" s="21"/>
      <c r="CA130" s="21"/>
      <c r="CB130" s="21"/>
      <c r="CC130" s="21"/>
      <c r="CD130" s="21"/>
      <c r="CE130" s="21"/>
      <c r="CF130" s="21"/>
      <c r="CG130" s="21"/>
      <c r="CH130" s="21"/>
      <c r="CI130" s="21"/>
      <c r="CJ130" s="21"/>
    </row>
    <row r="131" spans="1:88" s="22" customFormat="1" ht="23.25" customHeight="1" outlineLevel="1" x14ac:dyDescent="0.2">
      <c r="A131" s="29"/>
      <c r="B131" s="81"/>
      <c r="C131" s="82"/>
      <c r="D131" s="89"/>
      <c r="E131" s="91"/>
      <c r="F131" s="92"/>
      <c r="G131" s="133"/>
      <c r="H131" s="45"/>
      <c r="I131" s="41"/>
      <c r="J131" s="214"/>
      <c r="K131" s="37"/>
      <c r="L131" s="38"/>
      <c r="M131" s="38"/>
      <c r="N131" s="37"/>
      <c r="O131" s="39"/>
      <c r="P131" s="53"/>
      <c r="Q131" s="55"/>
      <c r="R131" s="137" t="s">
        <v>600</v>
      </c>
      <c r="S131" s="136" t="s">
        <v>600</v>
      </c>
      <c r="T131" s="136" t="s">
        <v>17</v>
      </c>
      <c r="U131" s="136" t="s">
        <v>17</v>
      </c>
      <c r="V131" s="136"/>
      <c r="W131" s="136"/>
      <c r="X131" s="263"/>
      <c r="Y131" s="1" t="str">
        <f t="shared" si="0"/>
        <v>_</v>
      </c>
      <c r="Z131" s="1" t="str">
        <f t="shared" si="1"/>
        <v>_</v>
      </c>
      <c r="AA131" s="21"/>
      <c r="AB131" s="21"/>
      <c r="AC131" s="21"/>
      <c r="AD131" s="21"/>
      <c r="AE131" s="21"/>
      <c r="AF131" s="21"/>
      <c r="AG131" s="21"/>
      <c r="AH131" s="21"/>
      <c r="AI131" s="21"/>
      <c r="AJ131" s="21"/>
      <c r="AK131" s="21"/>
      <c r="AL131" s="21"/>
      <c r="AM131" s="21"/>
      <c r="AN131" s="21"/>
      <c r="AO131" s="21"/>
      <c r="AP131" s="21"/>
      <c r="AQ131" s="21"/>
      <c r="AR131" s="21"/>
      <c r="AS131" s="21"/>
      <c r="AT131" s="21"/>
      <c r="AU131" s="21"/>
      <c r="AV131" s="21"/>
      <c r="AW131" s="21"/>
      <c r="AX131" s="21"/>
      <c r="AY131" s="21"/>
      <c r="AZ131" s="21"/>
      <c r="BA131" s="21"/>
      <c r="BB131" s="21"/>
      <c r="BC131" s="21"/>
      <c r="BD131" s="21"/>
      <c r="BE131" s="21"/>
      <c r="BF131" s="21"/>
      <c r="BG131" s="21"/>
      <c r="BH131" s="21"/>
      <c r="BI131" s="21"/>
      <c r="BJ131" s="21"/>
      <c r="BK131" s="21"/>
      <c r="BL131" s="21"/>
      <c r="BM131" s="21"/>
      <c r="BN131" s="21"/>
      <c r="BO131" s="21"/>
      <c r="BP131" s="21"/>
      <c r="BQ131" s="21"/>
      <c r="BR131" s="21"/>
      <c r="BS131" s="21"/>
      <c r="BT131" s="21"/>
      <c r="BU131" s="21"/>
      <c r="BV131" s="21"/>
      <c r="BW131" s="21"/>
      <c r="BX131" s="21"/>
      <c r="BY131" s="21"/>
      <c r="BZ131" s="21"/>
      <c r="CA131" s="21"/>
      <c r="CB131" s="21"/>
      <c r="CC131" s="21"/>
      <c r="CD131" s="21"/>
      <c r="CE131" s="21"/>
      <c r="CF131" s="21"/>
      <c r="CG131" s="21"/>
      <c r="CH131" s="21"/>
      <c r="CI131" s="21"/>
      <c r="CJ131" s="21"/>
    </row>
    <row r="132" spans="1:88" s="22" customFormat="1" ht="23.25" customHeight="1" outlineLevel="1" x14ac:dyDescent="0.2">
      <c r="A132" s="29"/>
      <c r="B132" s="81"/>
      <c r="C132" s="82"/>
      <c r="D132" s="89"/>
      <c r="E132" s="91"/>
      <c r="F132" s="92"/>
      <c r="G132" s="133"/>
      <c r="H132" s="45"/>
      <c r="I132" s="41"/>
      <c r="J132" s="214"/>
      <c r="K132" s="37"/>
      <c r="L132" s="38"/>
      <c r="M132" s="38"/>
      <c r="N132" s="37"/>
      <c r="O132" s="39"/>
      <c r="P132" s="53"/>
      <c r="Q132" s="55"/>
      <c r="R132" s="137" t="s">
        <v>600</v>
      </c>
      <c r="S132" s="136" t="s">
        <v>600</v>
      </c>
      <c r="T132" s="136" t="s">
        <v>17</v>
      </c>
      <c r="U132" s="136" t="s">
        <v>17</v>
      </c>
      <c r="V132" s="136"/>
      <c r="W132" s="136"/>
      <c r="X132" s="263"/>
      <c r="Y132" s="1" t="str">
        <f t="shared" si="0"/>
        <v>_</v>
      </c>
      <c r="Z132" s="1" t="str">
        <f t="shared" si="1"/>
        <v>_</v>
      </c>
      <c r="AA132" s="21"/>
      <c r="AB132" s="21"/>
      <c r="AC132" s="21"/>
      <c r="AD132" s="21"/>
      <c r="AE132" s="21"/>
      <c r="AF132" s="21"/>
      <c r="AG132" s="21"/>
      <c r="AH132" s="21"/>
      <c r="AI132" s="21"/>
      <c r="AJ132" s="21"/>
      <c r="AK132" s="21"/>
      <c r="AL132" s="21"/>
      <c r="AM132" s="21"/>
      <c r="AN132" s="21"/>
      <c r="AO132" s="21"/>
      <c r="AP132" s="21"/>
      <c r="AQ132" s="21"/>
      <c r="AR132" s="21"/>
      <c r="AS132" s="21"/>
      <c r="AT132" s="21"/>
      <c r="AU132" s="21"/>
      <c r="AV132" s="21"/>
      <c r="AW132" s="21"/>
      <c r="AX132" s="21"/>
      <c r="AY132" s="21"/>
      <c r="AZ132" s="21"/>
      <c r="BA132" s="21"/>
      <c r="BB132" s="21"/>
      <c r="BC132" s="21"/>
      <c r="BD132" s="21"/>
      <c r="BE132" s="21"/>
      <c r="BF132" s="21"/>
      <c r="BG132" s="21"/>
      <c r="BH132" s="21"/>
      <c r="BI132" s="21"/>
      <c r="BJ132" s="21"/>
      <c r="BK132" s="21"/>
      <c r="BL132" s="21"/>
      <c r="BM132" s="21"/>
      <c r="BN132" s="21"/>
      <c r="BO132" s="21"/>
      <c r="BP132" s="21"/>
      <c r="BQ132" s="21"/>
      <c r="BR132" s="21"/>
      <c r="BS132" s="21"/>
      <c r="BT132" s="21"/>
      <c r="BU132" s="21"/>
      <c r="BV132" s="21"/>
      <c r="BW132" s="21"/>
      <c r="BX132" s="21"/>
      <c r="BY132" s="21"/>
      <c r="BZ132" s="21"/>
      <c r="CA132" s="21"/>
      <c r="CB132" s="21"/>
      <c r="CC132" s="21"/>
      <c r="CD132" s="21"/>
      <c r="CE132" s="21"/>
      <c r="CF132" s="21"/>
      <c r="CG132" s="21"/>
      <c r="CH132" s="21"/>
      <c r="CI132" s="21"/>
      <c r="CJ132" s="21"/>
    </row>
    <row r="133" spans="1:88" s="22" customFormat="1" ht="23.25" customHeight="1" outlineLevel="1" x14ac:dyDescent="0.2">
      <c r="A133" s="29"/>
      <c r="B133" s="81"/>
      <c r="C133" s="82"/>
      <c r="D133" s="89"/>
      <c r="E133" s="91"/>
      <c r="F133" s="92"/>
      <c r="G133" s="133"/>
      <c r="H133" s="45"/>
      <c r="I133" s="41"/>
      <c r="J133" s="214"/>
      <c r="K133" s="37"/>
      <c r="L133" s="38"/>
      <c r="M133" s="38"/>
      <c r="N133" s="37"/>
      <c r="O133" s="39"/>
      <c r="P133" s="53"/>
      <c r="Q133" s="55"/>
      <c r="R133" s="137" t="s">
        <v>600</v>
      </c>
      <c r="S133" s="136" t="s">
        <v>600</v>
      </c>
      <c r="T133" s="136" t="s">
        <v>17</v>
      </c>
      <c r="U133" s="136" t="s">
        <v>17</v>
      </c>
      <c r="V133" s="136"/>
      <c r="W133" s="136"/>
      <c r="X133" s="263"/>
      <c r="Y133" s="1" t="str">
        <f t="shared" si="0"/>
        <v>_</v>
      </c>
      <c r="Z133" s="1" t="str">
        <f t="shared" si="1"/>
        <v>_</v>
      </c>
      <c r="AA133" s="21"/>
      <c r="AB133" s="21"/>
      <c r="AC133" s="21"/>
      <c r="AD133" s="21"/>
      <c r="AE133" s="21"/>
      <c r="AF133" s="21"/>
      <c r="AG133" s="21"/>
      <c r="AH133" s="21"/>
      <c r="AI133" s="21"/>
      <c r="AJ133" s="21"/>
      <c r="AK133" s="21"/>
      <c r="AL133" s="21"/>
      <c r="AM133" s="21"/>
      <c r="AN133" s="21"/>
      <c r="AO133" s="21"/>
      <c r="AP133" s="21"/>
      <c r="AQ133" s="21"/>
      <c r="AR133" s="21"/>
      <c r="AS133" s="21"/>
      <c r="AT133" s="21"/>
      <c r="AU133" s="21"/>
      <c r="AV133" s="21"/>
      <c r="AW133" s="21"/>
      <c r="AX133" s="21"/>
      <c r="AY133" s="21"/>
      <c r="AZ133" s="21"/>
      <c r="BA133" s="21"/>
      <c r="BB133" s="21"/>
      <c r="BC133" s="21"/>
      <c r="BD133" s="21"/>
      <c r="BE133" s="21"/>
      <c r="BF133" s="21"/>
      <c r="BG133" s="21"/>
      <c r="BH133" s="21"/>
      <c r="BI133" s="21"/>
      <c r="BJ133" s="21"/>
      <c r="BK133" s="21"/>
      <c r="BL133" s="21"/>
      <c r="BM133" s="21"/>
      <c r="BN133" s="21"/>
      <c r="BO133" s="21"/>
      <c r="BP133" s="21"/>
      <c r="BQ133" s="21"/>
      <c r="BR133" s="21"/>
      <c r="BS133" s="21"/>
      <c r="BT133" s="21"/>
      <c r="BU133" s="21"/>
      <c r="BV133" s="21"/>
      <c r="BW133" s="21"/>
      <c r="BX133" s="21"/>
      <c r="BY133" s="21"/>
      <c r="BZ133" s="21"/>
      <c r="CA133" s="21"/>
      <c r="CB133" s="21"/>
      <c r="CC133" s="21"/>
      <c r="CD133" s="21"/>
      <c r="CE133" s="21"/>
      <c r="CF133" s="21"/>
      <c r="CG133" s="21"/>
      <c r="CH133" s="21"/>
      <c r="CI133" s="21"/>
      <c r="CJ133" s="21"/>
    </row>
    <row r="134" spans="1:88" s="22" customFormat="1" ht="23.25" customHeight="1" outlineLevel="1" x14ac:dyDescent="0.2">
      <c r="A134" s="29"/>
      <c r="B134" s="81"/>
      <c r="C134" s="82"/>
      <c r="D134" s="89"/>
      <c r="E134" s="91"/>
      <c r="F134" s="92"/>
      <c r="G134" s="133"/>
      <c r="H134" s="45"/>
      <c r="I134" s="41"/>
      <c r="J134" s="214"/>
      <c r="K134" s="37"/>
      <c r="L134" s="38"/>
      <c r="M134" s="38"/>
      <c r="N134" s="37"/>
      <c r="O134" s="39"/>
      <c r="P134" s="53"/>
      <c r="Q134" s="55"/>
      <c r="R134" s="137" t="s">
        <v>600</v>
      </c>
      <c r="S134" s="136" t="s">
        <v>600</v>
      </c>
      <c r="T134" s="136" t="s">
        <v>17</v>
      </c>
      <c r="U134" s="136" t="s">
        <v>17</v>
      </c>
      <c r="V134" s="136"/>
      <c r="W134" s="136"/>
      <c r="X134" s="263"/>
      <c r="Y134" s="1" t="str">
        <f t="shared" si="0"/>
        <v>_</v>
      </c>
      <c r="Z134" s="1" t="str">
        <f t="shared" si="1"/>
        <v>_</v>
      </c>
      <c r="AA134" s="21"/>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c r="AZ134" s="21"/>
      <c r="BA134" s="21"/>
      <c r="BB134" s="21"/>
      <c r="BC134" s="21"/>
      <c r="BD134" s="21"/>
      <c r="BE134" s="21"/>
      <c r="BF134" s="21"/>
      <c r="BG134" s="21"/>
      <c r="BH134" s="21"/>
      <c r="BI134" s="21"/>
      <c r="BJ134" s="21"/>
      <c r="BK134" s="21"/>
      <c r="BL134" s="21"/>
      <c r="BM134" s="21"/>
      <c r="BN134" s="21"/>
      <c r="BO134" s="21"/>
      <c r="BP134" s="21"/>
      <c r="BQ134" s="21"/>
      <c r="BR134" s="21"/>
      <c r="BS134" s="21"/>
      <c r="BT134" s="21"/>
      <c r="BU134" s="21"/>
      <c r="BV134" s="21"/>
      <c r="BW134" s="21"/>
      <c r="BX134" s="21"/>
      <c r="BY134" s="21"/>
      <c r="BZ134" s="21"/>
      <c r="CA134" s="21"/>
      <c r="CB134" s="21"/>
      <c r="CC134" s="21"/>
      <c r="CD134" s="21"/>
      <c r="CE134" s="21"/>
      <c r="CF134" s="21"/>
      <c r="CG134" s="21"/>
      <c r="CH134" s="21"/>
      <c r="CI134" s="21"/>
      <c r="CJ134" s="21"/>
    </row>
    <row r="135" spans="1:88" s="22" customFormat="1" ht="23.25" customHeight="1" outlineLevel="1" x14ac:dyDescent="0.2">
      <c r="A135" s="29"/>
      <c r="B135" s="81"/>
      <c r="C135" s="82"/>
      <c r="D135" s="89"/>
      <c r="E135" s="91"/>
      <c r="F135" s="92"/>
      <c r="G135" s="133"/>
      <c r="H135" s="45"/>
      <c r="I135" s="41"/>
      <c r="J135" s="214"/>
      <c r="K135" s="37"/>
      <c r="L135" s="38"/>
      <c r="M135" s="38"/>
      <c r="N135" s="37"/>
      <c r="O135" s="39"/>
      <c r="P135" s="53"/>
      <c r="Q135" s="55"/>
      <c r="R135" s="137" t="s">
        <v>600</v>
      </c>
      <c r="S135" s="136" t="s">
        <v>600</v>
      </c>
      <c r="T135" s="136" t="s">
        <v>17</v>
      </c>
      <c r="U135" s="136" t="s">
        <v>17</v>
      </c>
      <c r="V135" s="136"/>
      <c r="W135" s="136"/>
      <c r="X135" s="263"/>
      <c r="Y135" s="1" t="str">
        <f t="shared" si="0"/>
        <v>_</v>
      </c>
      <c r="Z135" s="1" t="str">
        <f t="shared" si="1"/>
        <v>_</v>
      </c>
      <c r="AA135" s="21"/>
      <c r="AB135" s="21"/>
      <c r="AC135" s="21"/>
      <c r="AD135" s="21"/>
      <c r="AE135" s="21"/>
      <c r="AF135" s="21"/>
      <c r="AG135" s="21"/>
      <c r="AH135" s="21"/>
      <c r="AI135" s="21"/>
      <c r="AJ135" s="21"/>
      <c r="AK135" s="21"/>
      <c r="AL135" s="21"/>
      <c r="AM135" s="21"/>
      <c r="AN135" s="21"/>
      <c r="AO135" s="21"/>
      <c r="AP135" s="21"/>
      <c r="AQ135" s="21"/>
      <c r="AR135" s="21"/>
      <c r="AS135" s="21"/>
      <c r="AT135" s="21"/>
      <c r="AU135" s="21"/>
      <c r="AV135" s="21"/>
      <c r="AW135" s="21"/>
      <c r="AX135" s="21"/>
      <c r="AY135" s="21"/>
      <c r="AZ135" s="21"/>
      <c r="BA135" s="21"/>
      <c r="BB135" s="21"/>
      <c r="BC135" s="21"/>
      <c r="BD135" s="21"/>
      <c r="BE135" s="21"/>
      <c r="BF135" s="21"/>
      <c r="BG135" s="21"/>
      <c r="BH135" s="21"/>
      <c r="BI135" s="21"/>
      <c r="BJ135" s="21"/>
      <c r="BK135" s="21"/>
      <c r="BL135" s="21"/>
      <c r="BM135" s="21"/>
      <c r="BN135" s="21"/>
      <c r="BO135" s="21"/>
      <c r="BP135" s="21"/>
      <c r="BQ135" s="21"/>
      <c r="BR135" s="21"/>
      <c r="BS135" s="21"/>
      <c r="BT135" s="21"/>
      <c r="BU135" s="21"/>
      <c r="BV135" s="21"/>
      <c r="BW135" s="21"/>
      <c r="BX135" s="21"/>
      <c r="BY135" s="21"/>
      <c r="BZ135" s="21"/>
      <c r="CA135" s="21"/>
      <c r="CB135" s="21"/>
      <c r="CC135" s="21"/>
      <c r="CD135" s="21"/>
      <c r="CE135" s="21"/>
      <c r="CF135" s="21"/>
      <c r="CG135" s="21"/>
      <c r="CH135" s="21"/>
      <c r="CI135" s="21"/>
      <c r="CJ135" s="21"/>
    </row>
    <row r="136" spans="1:88" s="22" customFormat="1" ht="23.25" customHeight="1" outlineLevel="1" x14ac:dyDescent="0.2">
      <c r="A136" s="29"/>
      <c r="B136" s="81"/>
      <c r="C136" s="82"/>
      <c r="D136" s="89"/>
      <c r="E136" s="91"/>
      <c r="F136" s="92"/>
      <c r="G136" s="133"/>
      <c r="H136" s="45"/>
      <c r="I136" s="41"/>
      <c r="J136" s="214"/>
      <c r="K136" s="37"/>
      <c r="L136" s="38"/>
      <c r="M136" s="38"/>
      <c r="N136" s="37"/>
      <c r="O136" s="39"/>
      <c r="P136" s="53"/>
      <c r="Q136" s="55"/>
      <c r="R136" s="137" t="s">
        <v>600</v>
      </c>
      <c r="S136" s="136" t="s">
        <v>600</v>
      </c>
      <c r="T136" s="136" t="s">
        <v>17</v>
      </c>
      <c r="U136" s="136" t="s">
        <v>17</v>
      </c>
      <c r="V136" s="136"/>
      <c r="W136" s="136"/>
      <c r="X136" s="263"/>
      <c r="Y136" s="1" t="str">
        <f t="shared" si="0"/>
        <v>_</v>
      </c>
      <c r="Z136" s="1" t="str">
        <f t="shared" si="1"/>
        <v>_</v>
      </c>
      <c r="AA136" s="21"/>
      <c r="AB136" s="21"/>
      <c r="AC136" s="21"/>
      <c r="AD136" s="21"/>
      <c r="AE136" s="21"/>
      <c r="AF136" s="21"/>
      <c r="AG136" s="21"/>
      <c r="AH136" s="21"/>
      <c r="AI136" s="21"/>
      <c r="AJ136" s="21"/>
      <c r="AK136" s="21"/>
      <c r="AL136" s="21"/>
      <c r="AM136" s="21"/>
      <c r="AN136" s="21"/>
      <c r="AO136" s="21"/>
      <c r="AP136" s="21"/>
      <c r="AQ136" s="21"/>
      <c r="AR136" s="21"/>
      <c r="AS136" s="21"/>
      <c r="AT136" s="21"/>
      <c r="AU136" s="21"/>
      <c r="AV136" s="21"/>
      <c r="AW136" s="21"/>
      <c r="AX136" s="21"/>
      <c r="AY136" s="21"/>
      <c r="AZ136" s="21"/>
      <c r="BA136" s="21"/>
      <c r="BB136" s="21"/>
      <c r="BC136" s="21"/>
      <c r="BD136" s="21"/>
      <c r="BE136" s="21"/>
      <c r="BF136" s="21"/>
      <c r="BG136" s="21"/>
      <c r="BH136" s="21"/>
      <c r="BI136" s="21"/>
      <c r="BJ136" s="21"/>
      <c r="BK136" s="21"/>
      <c r="BL136" s="21"/>
      <c r="BM136" s="21"/>
      <c r="BN136" s="21"/>
      <c r="BO136" s="21"/>
      <c r="BP136" s="21"/>
      <c r="BQ136" s="21"/>
      <c r="BR136" s="21"/>
      <c r="BS136" s="21"/>
      <c r="BT136" s="21"/>
      <c r="BU136" s="21"/>
      <c r="BV136" s="21"/>
      <c r="BW136" s="21"/>
      <c r="BX136" s="21"/>
      <c r="BY136" s="21"/>
      <c r="BZ136" s="21"/>
      <c r="CA136" s="21"/>
      <c r="CB136" s="21"/>
      <c r="CC136" s="21"/>
      <c r="CD136" s="21"/>
      <c r="CE136" s="21"/>
      <c r="CF136" s="21"/>
      <c r="CG136" s="21"/>
      <c r="CH136" s="21"/>
      <c r="CI136" s="21"/>
      <c r="CJ136" s="21"/>
    </row>
    <row r="137" spans="1:88" s="22" customFormat="1" ht="23.25" customHeight="1" outlineLevel="1" x14ac:dyDescent="0.2">
      <c r="A137" s="29"/>
      <c r="B137" s="81"/>
      <c r="C137" s="82"/>
      <c r="D137" s="89"/>
      <c r="E137" s="91"/>
      <c r="F137" s="92"/>
      <c r="G137" s="133"/>
      <c r="H137" s="45"/>
      <c r="I137" s="41"/>
      <c r="J137" s="214"/>
      <c r="K137" s="37"/>
      <c r="L137" s="38"/>
      <c r="M137" s="38"/>
      <c r="N137" s="37"/>
      <c r="O137" s="39"/>
      <c r="P137" s="53"/>
      <c r="Q137" s="55"/>
      <c r="R137" s="137" t="s">
        <v>600</v>
      </c>
      <c r="S137" s="136" t="s">
        <v>600</v>
      </c>
      <c r="T137" s="136" t="s">
        <v>17</v>
      </c>
      <c r="U137" s="136" t="s">
        <v>17</v>
      </c>
      <c r="V137" s="136"/>
      <c r="W137" s="136"/>
      <c r="X137" s="263"/>
      <c r="Y137" s="1" t="str">
        <f t="shared" si="0"/>
        <v>_</v>
      </c>
      <c r="Z137" s="1" t="str">
        <f t="shared" si="1"/>
        <v>_</v>
      </c>
      <c r="AA137" s="21"/>
      <c r="AB137" s="21"/>
      <c r="AC137" s="21"/>
      <c r="AD137" s="21"/>
      <c r="AE137" s="21"/>
      <c r="AF137" s="21"/>
      <c r="AG137" s="21"/>
      <c r="AH137" s="21"/>
      <c r="AI137" s="21"/>
      <c r="AJ137" s="21"/>
      <c r="AK137" s="21"/>
      <c r="AL137" s="21"/>
      <c r="AM137" s="21"/>
      <c r="AN137" s="21"/>
      <c r="AO137" s="21"/>
      <c r="AP137" s="21"/>
      <c r="AQ137" s="21"/>
      <c r="AR137" s="21"/>
      <c r="AS137" s="21"/>
      <c r="AT137" s="21"/>
      <c r="AU137" s="21"/>
      <c r="AV137" s="21"/>
      <c r="AW137" s="21"/>
      <c r="AX137" s="21"/>
      <c r="AY137" s="21"/>
      <c r="AZ137" s="21"/>
      <c r="BA137" s="21"/>
      <c r="BB137" s="21"/>
      <c r="BC137" s="21"/>
      <c r="BD137" s="21"/>
      <c r="BE137" s="21"/>
      <c r="BF137" s="21"/>
      <c r="BG137" s="21"/>
      <c r="BH137" s="21"/>
      <c r="BI137" s="21"/>
      <c r="BJ137" s="21"/>
      <c r="BK137" s="21"/>
      <c r="BL137" s="21"/>
      <c r="BM137" s="21"/>
      <c r="BN137" s="21"/>
      <c r="BO137" s="21"/>
      <c r="BP137" s="21"/>
      <c r="BQ137" s="21"/>
      <c r="BR137" s="21"/>
      <c r="BS137" s="21"/>
      <c r="BT137" s="21"/>
      <c r="BU137" s="21"/>
      <c r="BV137" s="21"/>
      <c r="BW137" s="21"/>
      <c r="BX137" s="21"/>
      <c r="BY137" s="21"/>
      <c r="BZ137" s="21"/>
      <c r="CA137" s="21"/>
      <c r="CB137" s="21"/>
      <c r="CC137" s="21"/>
      <c r="CD137" s="21"/>
      <c r="CE137" s="21"/>
      <c r="CF137" s="21"/>
      <c r="CG137" s="21"/>
      <c r="CH137" s="21"/>
      <c r="CI137" s="21"/>
      <c r="CJ137" s="21"/>
    </row>
    <row r="138" spans="1:88" s="22" customFormat="1" ht="23.25" customHeight="1" outlineLevel="1" x14ac:dyDescent="0.2">
      <c r="A138" s="29"/>
      <c r="B138" s="81"/>
      <c r="C138" s="82"/>
      <c r="D138" s="89"/>
      <c r="E138" s="91"/>
      <c r="F138" s="92"/>
      <c r="G138" s="133"/>
      <c r="H138" s="45"/>
      <c r="I138" s="41"/>
      <c r="J138" s="214"/>
      <c r="K138" s="37"/>
      <c r="L138" s="38"/>
      <c r="M138" s="38"/>
      <c r="N138" s="37"/>
      <c r="O138" s="39"/>
      <c r="P138" s="53"/>
      <c r="Q138" s="55"/>
      <c r="R138" s="137" t="s">
        <v>600</v>
      </c>
      <c r="S138" s="136" t="s">
        <v>600</v>
      </c>
      <c r="T138" s="136" t="s">
        <v>17</v>
      </c>
      <c r="U138" s="136" t="s">
        <v>17</v>
      </c>
      <c r="V138" s="136"/>
      <c r="W138" s="136"/>
      <c r="X138" s="263"/>
      <c r="Y138" s="1" t="str">
        <f t="shared" si="0"/>
        <v>_</v>
      </c>
      <c r="Z138" s="1" t="str">
        <f t="shared" si="1"/>
        <v>_</v>
      </c>
      <c r="AA138" s="21"/>
      <c r="AB138" s="21"/>
      <c r="AC138" s="21"/>
      <c r="AD138" s="21"/>
      <c r="AE138" s="21"/>
      <c r="AF138" s="21"/>
      <c r="AG138" s="21"/>
      <c r="AH138" s="21"/>
      <c r="AI138" s="21"/>
      <c r="AJ138" s="21"/>
      <c r="AK138" s="21"/>
      <c r="AL138" s="21"/>
      <c r="AM138" s="21"/>
      <c r="AN138" s="21"/>
      <c r="AO138" s="21"/>
      <c r="AP138" s="21"/>
      <c r="AQ138" s="21"/>
      <c r="AR138" s="21"/>
      <c r="AS138" s="21"/>
      <c r="AT138" s="21"/>
      <c r="AU138" s="21"/>
      <c r="AV138" s="21"/>
      <c r="AW138" s="21"/>
      <c r="AX138" s="21"/>
      <c r="AY138" s="21"/>
      <c r="AZ138" s="21"/>
      <c r="BA138" s="21"/>
      <c r="BB138" s="21"/>
      <c r="BC138" s="21"/>
      <c r="BD138" s="21"/>
      <c r="BE138" s="21"/>
      <c r="BF138" s="21"/>
      <c r="BG138" s="21"/>
      <c r="BH138" s="21"/>
      <c r="BI138" s="21"/>
      <c r="BJ138" s="21"/>
      <c r="BK138" s="21"/>
      <c r="BL138" s="21"/>
      <c r="BM138" s="21"/>
      <c r="BN138" s="21"/>
      <c r="BO138" s="21"/>
      <c r="BP138" s="21"/>
      <c r="BQ138" s="21"/>
      <c r="BR138" s="21"/>
      <c r="BS138" s="21"/>
      <c r="BT138" s="21"/>
      <c r="BU138" s="21"/>
      <c r="BV138" s="21"/>
      <c r="BW138" s="21"/>
      <c r="BX138" s="21"/>
      <c r="BY138" s="21"/>
      <c r="BZ138" s="21"/>
      <c r="CA138" s="21"/>
      <c r="CB138" s="21"/>
      <c r="CC138" s="21"/>
      <c r="CD138" s="21"/>
      <c r="CE138" s="21"/>
      <c r="CF138" s="21"/>
      <c r="CG138" s="21"/>
      <c r="CH138" s="21"/>
      <c r="CI138" s="21"/>
      <c r="CJ138" s="21"/>
    </row>
    <row r="139" spans="1:88" s="22" customFormat="1" ht="23.25" customHeight="1" outlineLevel="1" x14ac:dyDescent="0.2">
      <c r="A139" s="29"/>
      <c r="B139" s="81"/>
      <c r="C139" s="82"/>
      <c r="D139" s="89"/>
      <c r="E139" s="91"/>
      <c r="F139" s="92"/>
      <c r="G139" s="133"/>
      <c r="H139" s="45"/>
      <c r="I139" s="41"/>
      <c r="J139" s="214"/>
      <c r="K139" s="37"/>
      <c r="L139" s="38"/>
      <c r="M139" s="38"/>
      <c r="N139" s="37"/>
      <c r="O139" s="39"/>
      <c r="P139" s="53"/>
      <c r="Q139" s="55"/>
      <c r="R139" s="137" t="s">
        <v>600</v>
      </c>
      <c r="S139" s="136" t="s">
        <v>600</v>
      </c>
      <c r="T139" s="136" t="s">
        <v>17</v>
      </c>
      <c r="U139" s="136" t="s">
        <v>17</v>
      </c>
      <c r="V139" s="136"/>
      <c r="W139" s="136"/>
      <c r="X139" s="263"/>
      <c r="Y139" s="1" t="str">
        <f t="shared" si="0"/>
        <v>_</v>
      </c>
      <c r="Z139" s="1" t="str">
        <f t="shared" si="1"/>
        <v>_</v>
      </c>
      <c r="AA139" s="21"/>
      <c r="AB139" s="21"/>
      <c r="AC139" s="21"/>
      <c r="AD139" s="21"/>
      <c r="AE139" s="21"/>
      <c r="AF139" s="21"/>
      <c r="AG139" s="21"/>
      <c r="AH139" s="21"/>
      <c r="AI139" s="21"/>
      <c r="AJ139" s="21"/>
      <c r="AK139" s="21"/>
      <c r="AL139" s="21"/>
      <c r="AM139" s="21"/>
      <c r="AN139" s="21"/>
      <c r="AO139" s="21"/>
      <c r="AP139" s="21"/>
      <c r="AQ139" s="21"/>
      <c r="AR139" s="21"/>
      <c r="AS139" s="21"/>
      <c r="AT139" s="21"/>
      <c r="AU139" s="21"/>
      <c r="AV139" s="21"/>
      <c r="AW139" s="21"/>
      <c r="AX139" s="21"/>
      <c r="AY139" s="21"/>
      <c r="AZ139" s="21"/>
      <c r="BA139" s="21"/>
      <c r="BB139" s="21"/>
      <c r="BC139" s="21"/>
      <c r="BD139" s="21"/>
      <c r="BE139" s="21"/>
      <c r="BF139" s="21"/>
      <c r="BG139" s="21"/>
      <c r="BH139" s="21"/>
      <c r="BI139" s="21"/>
      <c r="BJ139" s="21"/>
      <c r="BK139" s="21"/>
      <c r="BL139" s="21"/>
      <c r="BM139" s="21"/>
      <c r="BN139" s="21"/>
      <c r="BO139" s="21"/>
      <c r="BP139" s="21"/>
      <c r="BQ139" s="21"/>
      <c r="BR139" s="21"/>
      <c r="BS139" s="21"/>
      <c r="BT139" s="21"/>
      <c r="BU139" s="21"/>
      <c r="BV139" s="21"/>
      <c r="BW139" s="21"/>
      <c r="BX139" s="21"/>
      <c r="BY139" s="21"/>
      <c r="BZ139" s="21"/>
      <c r="CA139" s="21"/>
      <c r="CB139" s="21"/>
      <c r="CC139" s="21"/>
      <c r="CD139" s="21"/>
      <c r="CE139" s="21"/>
      <c r="CF139" s="21"/>
      <c r="CG139" s="21"/>
      <c r="CH139" s="21"/>
      <c r="CI139" s="21"/>
      <c r="CJ139" s="21"/>
    </row>
    <row r="140" spans="1:88" s="22" customFormat="1" ht="23.25" customHeight="1" outlineLevel="1" x14ac:dyDescent="0.2">
      <c r="A140" s="29"/>
      <c r="B140" s="81"/>
      <c r="C140" s="82"/>
      <c r="D140" s="89"/>
      <c r="E140" s="91"/>
      <c r="F140" s="92"/>
      <c r="G140" s="133"/>
      <c r="H140" s="45"/>
      <c r="I140" s="41"/>
      <c r="J140" s="214"/>
      <c r="K140" s="37"/>
      <c r="L140" s="38"/>
      <c r="M140" s="38"/>
      <c r="N140" s="37"/>
      <c r="O140" s="39"/>
      <c r="P140" s="53"/>
      <c r="Q140" s="55"/>
      <c r="R140" s="137" t="s">
        <v>600</v>
      </c>
      <c r="S140" s="136" t="s">
        <v>600</v>
      </c>
      <c r="T140" s="136" t="s">
        <v>17</v>
      </c>
      <c r="U140" s="136" t="s">
        <v>17</v>
      </c>
      <c r="V140" s="136"/>
      <c r="W140" s="136"/>
      <c r="X140" s="263"/>
      <c r="Y140" s="1" t="str">
        <f t="shared" si="0"/>
        <v>_</v>
      </c>
      <c r="Z140" s="1" t="str">
        <f t="shared" si="1"/>
        <v>_</v>
      </c>
      <c r="AA140" s="21"/>
      <c r="AB140" s="21"/>
      <c r="AC140" s="21"/>
      <c r="AD140" s="21"/>
      <c r="AE140" s="21"/>
      <c r="AF140" s="21"/>
      <c r="AG140" s="21"/>
      <c r="AH140" s="21"/>
      <c r="AI140" s="21"/>
      <c r="AJ140" s="21"/>
      <c r="AK140" s="21"/>
      <c r="AL140" s="21"/>
      <c r="AM140" s="21"/>
      <c r="AN140" s="21"/>
      <c r="AO140" s="21"/>
      <c r="AP140" s="21"/>
      <c r="AQ140" s="21"/>
      <c r="AR140" s="21"/>
      <c r="AS140" s="21"/>
      <c r="AT140" s="21"/>
      <c r="AU140" s="21"/>
      <c r="AV140" s="21"/>
      <c r="AW140" s="21"/>
      <c r="AX140" s="21"/>
      <c r="AY140" s="21"/>
      <c r="AZ140" s="21"/>
      <c r="BA140" s="21"/>
      <c r="BB140" s="21"/>
      <c r="BC140" s="21"/>
      <c r="BD140" s="21"/>
      <c r="BE140" s="21"/>
      <c r="BF140" s="21"/>
      <c r="BG140" s="21"/>
      <c r="BH140" s="21"/>
      <c r="BI140" s="21"/>
      <c r="BJ140" s="21"/>
      <c r="BK140" s="21"/>
      <c r="BL140" s="21"/>
      <c r="BM140" s="21"/>
      <c r="BN140" s="21"/>
      <c r="BO140" s="21"/>
      <c r="BP140" s="21"/>
      <c r="BQ140" s="21"/>
      <c r="BR140" s="21"/>
      <c r="BS140" s="21"/>
      <c r="BT140" s="21"/>
      <c r="BU140" s="21"/>
      <c r="BV140" s="21"/>
      <c r="BW140" s="21"/>
      <c r="BX140" s="21"/>
      <c r="BY140" s="21"/>
      <c r="BZ140" s="21"/>
      <c r="CA140" s="21"/>
      <c r="CB140" s="21"/>
      <c r="CC140" s="21"/>
      <c r="CD140" s="21"/>
      <c r="CE140" s="21"/>
      <c r="CF140" s="21"/>
      <c r="CG140" s="21"/>
      <c r="CH140" s="21"/>
      <c r="CI140" s="21"/>
      <c r="CJ140" s="21"/>
    </row>
    <row r="141" spans="1:88" s="22" customFormat="1" ht="23.25" customHeight="1" outlineLevel="1" x14ac:dyDescent="0.2">
      <c r="A141" s="29"/>
      <c r="B141" s="81"/>
      <c r="C141" s="82"/>
      <c r="D141" s="89"/>
      <c r="E141" s="91"/>
      <c r="F141" s="92"/>
      <c r="G141" s="133"/>
      <c r="H141" s="45"/>
      <c r="I141" s="41"/>
      <c r="J141" s="214"/>
      <c r="K141" s="37"/>
      <c r="L141" s="38"/>
      <c r="M141" s="38"/>
      <c r="N141" s="37"/>
      <c r="O141" s="39"/>
      <c r="P141" s="53"/>
      <c r="Q141" s="55"/>
      <c r="R141" s="137" t="s">
        <v>600</v>
      </c>
      <c r="S141" s="136" t="s">
        <v>600</v>
      </c>
      <c r="T141" s="136" t="s">
        <v>17</v>
      </c>
      <c r="U141" s="136" t="s">
        <v>17</v>
      </c>
      <c r="V141" s="136"/>
      <c r="W141" s="136"/>
      <c r="X141" s="263"/>
      <c r="Y141" s="1" t="str">
        <f t="shared" si="0"/>
        <v>_</v>
      </c>
      <c r="Z141" s="1" t="str">
        <f t="shared" si="1"/>
        <v>_</v>
      </c>
      <c r="AA141" s="21"/>
      <c r="AB141" s="21"/>
      <c r="AC141" s="21"/>
      <c r="AD141" s="21"/>
      <c r="AE141" s="21"/>
      <c r="AF141" s="21"/>
      <c r="AG141" s="21"/>
      <c r="AH141" s="21"/>
      <c r="AI141" s="21"/>
      <c r="AJ141" s="21"/>
      <c r="AK141" s="21"/>
      <c r="AL141" s="21"/>
      <c r="AM141" s="21"/>
      <c r="AN141" s="21"/>
      <c r="AO141" s="21"/>
      <c r="AP141" s="21"/>
      <c r="AQ141" s="21"/>
      <c r="AR141" s="21"/>
      <c r="AS141" s="21"/>
      <c r="AT141" s="21"/>
      <c r="AU141" s="21"/>
      <c r="AV141" s="21"/>
      <c r="AW141" s="21"/>
      <c r="AX141" s="21"/>
      <c r="AY141" s="21"/>
      <c r="AZ141" s="21"/>
      <c r="BA141" s="21"/>
      <c r="BB141" s="21"/>
      <c r="BC141" s="21"/>
      <c r="BD141" s="21"/>
      <c r="BE141" s="21"/>
      <c r="BF141" s="21"/>
      <c r="BG141" s="21"/>
      <c r="BH141" s="21"/>
      <c r="BI141" s="21"/>
      <c r="BJ141" s="21"/>
      <c r="BK141" s="21"/>
      <c r="BL141" s="21"/>
      <c r="BM141" s="21"/>
      <c r="BN141" s="21"/>
      <c r="BO141" s="21"/>
      <c r="BP141" s="21"/>
      <c r="BQ141" s="21"/>
      <c r="BR141" s="21"/>
      <c r="BS141" s="21"/>
      <c r="BT141" s="21"/>
      <c r="BU141" s="21"/>
      <c r="BV141" s="21"/>
      <c r="BW141" s="21"/>
      <c r="BX141" s="21"/>
      <c r="BY141" s="21"/>
      <c r="BZ141" s="21"/>
      <c r="CA141" s="21"/>
      <c r="CB141" s="21"/>
      <c r="CC141" s="21"/>
      <c r="CD141" s="21"/>
      <c r="CE141" s="21"/>
      <c r="CF141" s="21"/>
      <c r="CG141" s="21"/>
      <c r="CH141" s="21"/>
      <c r="CI141" s="21"/>
      <c r="CJ141" s="21"/>
    </row>
    <row r="142" spans="1:88" s="22" customFormat="1" ht="23.25" customHeight="1" outlineLevel="1" x14ac:dyDescent="0.2">
      <c r="A142" s="29"/>
      <c r="B142" s="81"/>
      <c r="C142" s="82"/>
      <c r="D142" s="89"/>
      <c r="E142" s="91"/>
      <c r="F142" s="92"/>
      <c r="G142" s="133"/>
      <c r="H142" s="45"/>
      <c r="I142" s="41"/>
      <c r="J142" s="214"/>
      <c r="K142" s="37"/>
      <c r="L142" s="38"/>
      <c r="M142" s="38"/>
      <c r="N142" s="37"/>
      <c r="O142" s="39"/>
      <c r="P142" s="53"/>
      <c r="Q142" s="55"/>
      <c r="R142" s="137" t="s">
        <v>600</v>
      </c>
      <c r="S142" s="136" t="s">
        <v>600</v>
      </c>
      <c r="T142" s="136" t="s">
        <v>17</v>
      </c>
      <c r="U142" s="136" t="s">
        <v>17</v>
      </c>
      <c r="V142" s="136"/>
      <c r="W142" s="136"/>
      <c r="X142" s="263"/>
      <c r="Y142" s="1" t="str">
        <f t="shared" si="0"/>
        <v>_</v>
      </c>
      <c r="Z142" s="1" t="str">
        <f t="shared" si="1"/>
        <v>_</v>
      </c>
      <c r="AA142" s="21"/>
      <c r="AB142" s="21"/>
      <c r="AC142" s="21"/>
      <c r="AD142" s="21"/>
      <c r="AE142" s="21"/>
      <c r="AF142" s="21"/>
      <c r="AG142" s="21"/>
      <c r="AH142" s="21"/>
      <c r="AI142" s="21"/>
      <c r="AJ142" s="21"/>
      <c r="AK142" s="21"/>
      <c r="AL142" s="21"/>
      <c r="AM142" s="21"/>
      <c r="AN142" s="21"/>
      <c r="AO142" s="21"/>
      <c r="AP142" s="21"/>
      <c r="AQ142" s="21"/>
      <c r="AR142" s="21"/>
      <c r="AS142" s="21"/>
      <c r="AT142" s="21"/>
      <c r="AU142" s="21"/>
      <c r="AV142" s="21"/>
      <c r="AW142" s="21"/>
      <c r="AX142" s="21"/>
      <c r="AY142" s="21"/>
      <c r="AZ142" s="21"/>
      <c r="BA142" s="21"/>
      <c r="BB142" s="21"/>
      <c r="BC142" s="21"/>
      <c r="BD142" s="21"/>
      <c r="BE142" s="21"/>
      <c r="BF142" s="21"/>
      <c r="BG142" s="21"/>
      <c r="BH142" s="21"/>
      <c r="BI142" s="21"/>
      <c r="BJ142" s="21"/>
      <c r="BK142" s="21"/>
      <c r="BL142" s="21"/>
      <c r="BM142" s="21"/>
      <c r="BN142" s="21"/>
      <c r="BO142" s="21"/>
      <c r="BP142" s="21"/>
      <c r="BQ142" s="21"/>
      <c r="BR142" s="21"/>
      <c r="BS142" s="21"/>
      <c r="BT142" s="21"/>
      <c r="BU142" s="21"/>
      <c r="BV142" s="21"/>
      <c r="BW142" s="21"/>
      <c r="BX142" s="21"/>
      <c r="BY142" s="21"/>
      <c r="BZ142" s="21"/>
      <c r="CA142" s="21"/>
      <c r="CB142" s="21"/>
      <c r="CC142" s="21"/>
      <c r="CD142" s="21"/>
      <c r="CE142" s="21"/>
      <c r="CF142" s="21"/>
      <c r="CG142" s="21"/>
      <c r="CH142" s="21"/>
      <c r="CI142" s="21"/>
      <c r="CJ142" s="21"/>
    </row>
    <row r="143" spans="1:88" s="22" customFormat="1" ht="23.25" customHeight="1" outlineLevel="1" x14ac:dyDescent="0.2">
      <c r="A143" s="29"/>
      <c r="B143" s="81"/>
      <c r="C143" s="82"/>
      <c r="D143" s="89"/>
      <c r="E143" s="91"/>
      <c r="F143" s="92"/>
      <c r="G143" s="133"/>
      <c r="H143" s="45"/>
      <c r="I143" s="41"/>
      <c r="J143" s="214"/>
      <c r="K143" s="37"/>
      <c r="L143" s="38"/>
      <c r="M143" s="38"/>
      <c r="N143" s="37"/>
      <c r="O143" s="39"/>
      <c r="P143" s="53"/>
      <c r="Q143" s="55"/>
      <c r="R143" s="137" t="s">
        <v>600</v>
      </c>
      <c r="S143" s="136" t="s">
        <v>600</v>
      </c>
      <c r="T143" s="136" t="s">
        <v>17</v>
      </c>
      <c r="U143" s="136" t="s">
        <v>17</v>
      </c>
      <c r="V143" s="136"/>
      <c r="W143" s="136"/>
      <c r="X143" s="263"/>
      <c r="Y143" s="1" t="str">
        <f t="shared" si="0"/>
        <v>_</v>
      </c>
      <c r="Z143" s="1" t="str">
        <f t="shared" si="1"/>
        <v>_</v>
      </c>
      <c r="AA143" s="21"/>
      <c r="AB143" s="21"/>
      <c r="AC143" s="21"/>
      <c r="AD143" s="21"/>
      <c r="AE143" s="21"/>
      <c r="AF143" s="21"/>
      <c r="AG143" s="21"/>
      <c r="AH143" s="21"/>
      <c r="AI143" s="21"/>
      <c r="AJ143" s="21"/>
      <c r="AK143" s="21"/>
      <c r="AL143" s="21"/>
      <c r="AM143" s="21"/>
      <c r="AN143" s="21"/>
      <c r="AO143" s="21"/>
      <c r="AP143" s="21"/>
      <c r="AQ143" s="21"/>
      <c r="AR143" s="21"/>
      <c r="AS143" s="21"/>
      <c r="AT143" s="21"/>
      <c r="AU143" s="21"/>
      <c r="AV143" s="21"/>
      <c r="AW143" s="21"/>
      <c r="AX143" s="21"/>
      <c r="AY143" s="21"/>
      <c r="AZ143" s="21"/>
      <c r="BA143" s="21"/>
      <c r="BB143" s="21"/>
      <c r="BC143" s="21"/>
      <c r="BD143" s="21"/>
      <c r="BE143" s="21"/>
      <c r="BF143" s="21"/>
      <c r="BG143" s="21"/>
      <c r="BH143" s="21"/>
      <c r="BI143" s="21"/>
      <c r="BJ143" s="21"/>
      <c r="BK143" s="21"/>
      <c r="BL143" s="21"/>
      <c r="BM143" s="21"/>
      <c r="BN143" s="21"/>
      <c r="BO143" s="21"/>
      <c r="BP143" s="21"/>
      <c r="BQ143" s="21"/>
      <c r="BR143" s="21"/>
      <c r="BS143" s="21"/>
      <c r="BT143" s="21"/>
      <c r="BU143" s="21"/>
      <c r="BV143" s="21"/>
      <c r="BW143" s="21"/>
      <c r="BX143" s="21"/>
      <c r="BY143" s="21"/>
      <c r="BZ143" s="21"/>
      <c r="CA143" s="21"/>
      <c r="CB143" s="21"/>
      <c r="CC143" s="21"/>
      <c r="CD143" s="21"/>
      <c r="CE143" s="21"/>
      <c r="CF143" s="21"/>
      <c r="CG143" s="21"/>
      <c r="CH143" s="21"/>
      <c r="CI143" s="21"/>
      <c r="CJ143" s="21"/>
    </row>
    <row r="144" spans="1:88" s="22" customFormat="1" ht="23.25" customHeight="1" outlineLevel="1" x14ac:dyDescent="0.2">
      <c r="A144" s="29"/>
      <c r="B144" s="81"/>
      <c r="C144" s="82"/>
      <c r="D144" s="89"/>
      <c r="E144" s="91"/>
      <c r="F144" s="92"/>
      <c r="G144" s="93"/>
      <c r="H144" s="45"/>
      <c r="I144" s="41"/>
      <c r="J144" s="214"/>
      <c r="K144" s="37"/>
      <c r="L144" s="38"/>
      <c r="M144" s="38"/>
      <c r="N144" s="37"/>
      <c r="O144" s="39"/>
      <c r="P144" s="53"/>
      <c r="Q144" s="55"/>
      <c r="R144" s="137" t="s">
        <v>600</v>
      </c>
      <c r="S144" s="136" t="s">
        <v>600</v>
      </c>
      <c r="T144" s="136" t="s">
        <v>17</v>
      </c>
      <c r="U144" s="136" t="s">
        <v>17</v>
      </c>
      <c r="V144" s="136"/>
      <c r="W144" s="136"/>
      <c r="X144" s="263"/>
      <c r="Y144" s="1" t="str">
        <f t="shared" si="0"/>
        <v>_</v>
      </c>
      <c r="Z144" s="1" t="str">
        <f t="shared" si="1"/>
        <v>_</v>
      </c>
      <c r="AA144" s="21"/>
      <c r="AB144" s="21"/>
      <c r="AC144" s="21"/>
      <c r="AD144" s="21"/>
      <c r="AE144" s="21"/>
      <c r="AF144" s="21"/>
      <c r="AG144" s="21"/>
      <c r="AH144" s="21"/>
      <c r="AI144" s="21"/>
      <c r="AJ144" s="21"/>
      <c r="AK144" s="21"/>
      <c r="AL144" s="21"/>
      <c r="AM144" s="21"/>
      <c r="AN144" s="21"/>
      <c r="AO144" s="21"/>
      <c r="AP144" s="21"/>
      <c r="AQ144" s="21"/>
      <c r="AR144" s="21"/>
      <c r="AS144" s="21"/>
      <c r="AT144" s="21"/>
      <c r="AU144" s="21"/>
      <c r="AV144" s="21"/>
      <c r="AW144" s="21"/>
      <c r="AX144" s="21"/>
      <c r="AY144" s="21"/>
      <c r="AZ144" s="21"/>
      <c r="BA144" s="21"/>
      <c r="BB144" s="21"/>
      <c r="BC144" s="21"/>
      <c r="BD144" s="21"/>
      <c r="BE144" s="21"/>
      <c r="BF144" s="21"/>
      <c r="BG144" s="21"/>
      <c r="BH144" s="21"/>
      <c r="BI144" s="21"/>
      <c r="BJ144" s="21"/>
      <c r="BK144" s="21"/>
      <c r="BL144" s="21"/>
      <c r="BM144" s="21"/>
      <c r="BN144" s="21"/>
      <c r="BO144" s="21"/>
      <c r="BP144" s="21"/>
      <c r="BQ144" s="21"/>
      <c r="BR144" s="21"/>
      <c r="BS144" s="21"/>
      <c r="BT144" s="21"/>
      <c r="BU144" s="21"/>
      <c r="BV144" s="21"/>
      <c r="BW144" s="21"/>
      <c r="BX144" s="21"/>
      <c r="BY144" s="21"/>
      <c r="BZ144" s="21"/>
      <c r="CA144" s="21"/>
      <c r="CB144" s="21"/>
      <c r="CC144" s="21"/>
      <c r="CD144" s="21"/>
      <c r="CE144" s="21"/>
      <c r="CF144" s="21"/>
      <c r="CG144" s="21"/>
      <c r="CH144" s="21"/>
      <c r="CI144" s="21"/>
      <c r="CJ144" s="21"/>
    </row>
    <row r="145" spans="1:88" s="22" customFormat="1" ht="23.25" customHeight="1" outlineLevel="1" x14ac:dyDescent="0.2">
      <c r="A145" s="29"/>
      <c r="B145" s="81"/>
      <c r="C145" s="82"/>
      <c r="D145" s="89"/>
      <c r="E145" s="82"/>
      <c r="F145" s="92"/>
      <c r="G145" s="93"/>
      <c r="H145" s="45"/>
      <c r="I145" s="41"/>
      <c r="J145" s="214"/>
      <c r="K145" s="37"/>
      <c r="L145" s="38"/>
      <c r="M145" s="38"/>
      <c r="N145" s="37"/>
      <c r="O145" s="39"/>
      <c r="P145" s="53"/>
      <c r="Q145" s="55"/>
      <c r="R145" s="137" t="s">
        <v>600</v>
      </c>
      <c r="S145" s="136" t="s">
        <v>600</v>
      </c>
      <c r="T145" s="136" t="s">
        <v>17</v>
      </c>
      <c r="U145" s="136" t="s">
        <v>17</v>
      </c>
      <c r="V145" s="136"/>
      <c r="W145" s="136"/>
      <c r="X145" s="263"/>
      <c r="Y145" s="1" t="str">
        <f t="shared" si="0"/>
        <v>_</v>
      </c>
      <c r="Z145" s="1" t="str">
        <f t="shared" si="1"/>
        <v>_</v>
      </c>
      <c r="AA145" s="21"/>
      <c r="AB145" s="21"/>
      <c r="AC145" s="21"/>
      <c r="AD145" s="21"/>
      <c r="AE145" s="21"/>
      <c r="AF145" s="21"/>
      <c r="AG145" s="21"/>
      <c r="AH145" s="21"/>
      <c r="AI145" s="21"/>
      <c r="AJ145" s="21"/>
      <c r="AK145" s="21"/>
      <c r="AL145" s="21"/>
      <c r="AM145" s="21"/>
      <c r="AN145" s="21"/>
      <c r="AO145" s="21"/>
      <c r="AP145" s="21"/>
      <c r="AQ145" s="21"/>
      <c r="AR145" s="21"/>
      <c r="AS145" s="21"/>
      <c r="AT145" s="21"/>
      <c r="AU145" s="21"/>
      <c r="AV145" s="21"/>
      <c r="AW145" s="21"/>
      <c r="AX145" s="21"/>
      <c r="AY145" s="21"/>
      <c r="AZ145" s="21"/>
      <c r="BA145" s="21"/>
      <c r="BB145" s="21"/>
      <c r="BC145" s="21"/>
      <c r="BD145" s="21"/>
      <c r="BE145" s="21"/>
      <c r="BF145" s="21"/>
      <c r="BG145" s="21"/>
      <c r="BH145" s="21"/>
      <c r="BI145" s="21"/>
      <c r="BJ145" s="21"/>
      <c r="BK145" s="21"/>
      <c r="BL145" s="21"/>
      <c r="BM145" s="21"/>
      <c r="BN145" s="21"/>
      <c r="BO145" s="21"/>
      <c r="BP145" s="21"/>
      <c r="BQ145" s="21"/>
      <c r="BR145" s="21"/>
      <c r="BS145" s="21"/>
      <c r="BT145" s="21"/>
      <c r="BU145" s="21"/>
      <c r="BV145" s="21"/>
      <c r="BW145" s="21"/>
      <c r="BX145" s="21"/>
      <c r="BY145" s="21"/>
      <c r="BZ145" s="21"/>
      <c r="CA145" s="21"/>
      <c r="CB145" s="21"/>
      <c r="CC145" s="21"/>
      <c r="CD145" s="21"/>
      <c r="CE145" s="21"/>
      <c r="CF145" s="21"/>
      <c r="CG145" s="21"/>
      <c r="CH145" s="21"/>
      <c r="CI145" s="21"/>
      <c r="CJ145" s="21"/>
    </row>
    <row r="146" spans="1:88" s="22" customFormat="1" ht="23.25" customHeight="1" outlineLevel="1" x14ac:dyDescent="0.2">
      <c r="A146" s="29"/>
      <c r="B146" s="81"/>
      <c r="C146" s="82"/>
      <c r="D146" s="89"/>
      <c r="E146" s="91"/>
      <c r="F146" s="92"/>
      <c r="G146" s="93"/>
      <c r="H146" s="45"/>
      <c r="I146" s="41"/>
      <c r="J146" s="214"/>
      <c r="K146" s="37"/>
      <c r="L146" s="38"/>
      <c r="M146" s="38"/>
      <c r="N146" s="37"/>
      <c r="O146" s="39"/>
      <c r="P146" s="53"/>
      <c r="Q146" s="55"/>
      <c r="R146" s="137" t="s">
        <v>600</v>
      </c>
      <c r="S146" s="136" t="s">
        <v>600</v>
      </c>
      <c r="T146" s="136" t="s">
        <v>17</v>
      </c>
      <c r="U146" s="136" t="s">
        <v>17</v>
      </c>
      <c r="V146" s="136"/>
      <c r="W146" s="136"/>
      <c r="X146" s="263"/>
      <c r="Y146" s="1" t="str">
        <f t="shared" si="0"/>
        <v>_</v>
      </c>
      <c r="Z146" s="1" t="str">
        <f t="shared" si="1"/>
        <v>_</v>
      </c>
      <c r="AA146" s="21"/>
      <c r="AB146" s="21"/>
      <c r="AC146" s="21"/>
      <c r="AD146" s="21"/>
      <c r="AE146" s="21"/>
      <c r="AF146" s="21"/>
      <c r="AG146" s="21"/>
      <c r="AH146" s="21"/>
      <c r="AI146" s="21"/>
      <c r="AJ146" s="21"/>
      <c r="AK146" s="21"/>
      <c r="AL146" s="21"/>
      <c r="AM146" s="21"/>
      <c r="AN146" s="21"/>
      <c r="AO146" s="21"/>
      <c r="AP146" s="21"/>
      <c r="AQ146" s="21"/>
      <c r="AR146" s="21"/>
      <c r="AS146" s="21"/>
      <c r="AT146" s="21"/>
      <c r="AU146" s="21"/>
      <c r="AV146" s="21"/>
      <c r="AW146" s="21"/>
      <c r="AX146" s="21"/>
      <c r="AY146" s="21"/>
      <c r="AZ146" s="21"/>
      <c r="BA146" s="21"/>
      <c r="BB146" s="21"/>
      <c r="BC146" s="21"/>
      <c r="BD146" s="21"/>
      <c r="BE146" s="21"/>
      <c r="BF146" s="21"/>
      <c r="BG146" s="21"/>
      <c r="BH146" s="21"/>
      <c r="BI146" s="21"/>
      <c r="BJ146" s="21"/>
      <c r="BK146" s="21"/>
      <c r="BL146" s="21"/>
      <c r="BM146" s="21"/>
      <c r="BN146" s="21"/>
      <c r="BO146" s="21"/>
      <c r="BP146" s="21"/>
      <c r="BQ146" s="21"/>
      <c r="BR146" s="21"/>
      <c r="BS146" s="21"/>
      <c r="BT146" s="21"/>
      <c r="BU146" s="21"/>
      <c r="BV146" s="21"/>
      <c r="BW146" s="21"/>
      <c r="BX146" s="21"/>
      <c r="BY146" s="21"/>
      <c r="BZ146" s="21"/>
      <c r="CA146" s="21"/>
      <c r="CB146" s="21"/>
      <c r="CC146" s="21"/>
      <c r="CD146" s="21"/>
      <c r="CE146" s="21"/>
      <c r="CF146" s="21"/>
      <c r="CG146" s="21"/>
      <c r="CH146" s="21"/>
      <c r="CI146" s="21"/>
      <c r="CJ146" s="21"/>
    </row>
    <row r="147" spans="1:88" s="22" customFormat="1" ht="23.25" customHeight="1" outlineLevel="1" x14ac:dyDescent="0.2">
      <c r="A147" s="29"/>
      <c r="B147" s="81"/>
      <c r="C147" s="82"/>
      <c r="D147" s="89"/>
      <c r="E147" s="91"/>
      <c r="F147" s="92"/>
      <c r="G147" s="93"/>
      <c r="H147" s="45"/>
      <c r="I147" s="41"/>
      <c r="J147" s="214"/>
      <c r="K147" s="37"/>
      <c r="L147" s="38"/>
      <c r="M147" s="38"/>
      <c r="N147" s="37"/>
      <c r="O147" s="39"/>
      <c r="P147" s="53"/>
      <c r="Q147" s="55"/>
      <c r="R147" s="137" t="s">
        <v>600</v>
      </c>
      <c r="S147" s="136" t="s">
        <v>600</v>
      </c>
      <c r="T147" s="136" t="s">
        <v>17</v>
      </c>
      <c r="U147" s="136" t="s">
        <v>17</v>
      </c>
      <c r="V147" s="136"/>
      <c r="W147" s="136"/>
      <c r="X147" s="263"/>
      <c r="Y147" s="1" t="str">
        <f t="shared" si="0"/>
        <v>_</v>
      </c>
      <c r="Z147" s="1" t="str">
        <f t="shared" si="1"/>
        <v>_</v>
      </c>
      <c r="AA147" s="21"/>
      <c r="AB147" s="21"/>
      <c r="AC147" s="21"/>
      <c r="AD147" s="21"/>
      <c r="AE147" s="21"/>
      <c r="AF147" s="21"/>
      <c r="AG147" s="21"/>
      <c r="AH147" s="21"/>
      <c r="AI147" s="21"/>
      <c r="AJ147" s="21"/>
      <c r="AK147" s="21"/>
      <c r="AL147" s="21"/>
      <c r="AM147" s="21"/>
      <c r="AN147" s="21"/>
      <c r="AO147" s="21"/>
      <c r="AP147" s="21"/>
      <c r="AQ147" s="21"/>
      <c r="AR147" s="21"/>
      <c r="AS147" s="21"/>
      <c r="AT147" s="21"/>
      <c r="AU147" s="21"/>
      <c r="AV147" s="21"/>
      <c r="AW147" s="21"/>
      <c r="AX147" s="21"/>
      <c r="AY147" s="21"/>
      <c r="AZ147" s="21"/>
      <c r="BA147" s="21"/>
      <c r="BB147" s="21"/>
      <c r="BC147" s="21"/>
      <c r="BD147" s="21"/>
      <c r="BE147" s="21"/>
      <c r="BF147" s="21"/>
      <c r="BG147" s="21"/>
      <c r="BH147" s="21"/>
      <c r="BI147" s="21"/>
      <c r="BJ147" s="21"/>
      <c r="BK147" s="21"/>
      <c r="BL147" s="21"/>
      <c r="BM147" s="21"/>
      <c r="BN147" s="21"/>
      <c r="BO147" s="21"/>
      <c r="BP147" s="21"/>
      <c r="BQ147" s="21"/>
      <c r="BR147" s="21"/>
      <c r="BS147" s="21"/>
      <c r="BT147" s="21"/>
      <c r="BU147" s="21"/>
      <c r="BV147" s="21"/>
      <c r="BW147" s="21"/>
      <c r="BX147" s="21"/>
      <c r="BY147" s="21"/>
      <c r="BZ147" s="21"/>
      <c r="CA147" s="21"/>
      <c r="CB147" s="21"/>
      <c r="CC147" s="21"/>
      <c r="CD147" s="21"/>
      <c r="CE147" s="21"/>
      <c r="CF147" s="21"/>
      <c r="CG147" s="21"/>
      <c r="CH147" s="21"/>
      <c r="CI147" s="21"/>
      <c r="CJ147" s="21"/>
    </row>
    <row r="148" spans="1:88" s="22" customFormat="1" ht="23.25" customHeight="1" outlineLevel="1" x14ac:dyDescent="0.2">
      <c r="A148" s="29"/>
      <c r="B148" s="81"/>
      <c r="C148" s="82"/>
      <c r="D148" s="89"/>
      <c r="E148" s="91"/>
      <c r="F148" s="92"/>
      <c r="G148" s="93"/>
      <c r="H148" s="45"/>
      <c r="I148" s="41"/>
      <c r="J148" s="214"/>
      <c r="K148" s="37"/>
      <c r="L148" s="38"/>
      <c r="M148" s="38"/>
      <c r="N148" s="37"/>
      <c r="O148" s="39"/>
      <c r="P148" s="53"/>
      <c r="Q148" s="55"/>
      <c r="R148" s="137" t="s">
        <v>600</v>
      </c>
      <c r="S148" s="136" t="s">
        <v>600</v>
      </c>
      <c r="T148" s="136" t="s">
        <v>17</v>
      </c>
      <c r="U148" s="136" t="s">
        <v>17</v>
      </c>
      <c r="V148" s="136"/>
      <c r="W148" s="136"/>
      <c r="X148" s="263"/>
      <c r="Y148" s="1" t="str">
        <f t="shared" si="0"/>
        <v>_</v>
      </c>
      <c r="Z148" s="1" t="str">
        <f t="shared" si="1"/>
        <v>_</v>
      </c>
      <c r="AA148" s="21"/>
      <c r="AB148" s="21"/>
      <c r="AC148" s="21"/>
      <c r="AD148" s="21"/>
      <c r="AE148" s="21"/>
      <c r="AF148" s="21"/>
      <c r="AG148" s="21"/>
      <c r="AH148" s="21"/>
      <c r="AI148" s="21"/>
      <c r="AJ148" s="21"/>
      <c r="AK148" s="21"/>
      <c r="AL148" s="21"/>
      <c r="AM148" s="21"/>
      <c r="AN148" s="21"/>
      <c r="AO148" s="21"/>
      <c r="AP148" s="21"/>
      <c r="AQ148" s="21"/>
      <c r="AR148" s="21"/>
      <c r="AS148" s="21"/>
      <c r="AT148" s="21"/>
      <c r="AU148" s="21"/>
      <c r="AV148" s="21"/>
      <c r="AW148" s="21"/>
      <c r="AX148" s="21"/>
      <c r="AY148" s="21"/>
      <c r="AZ148" s="21"/>
      <c r="BA148" s="21"/>
      <c r="BB148" s="21"/>
      <c r="BC148" s="21"/>
      <c r="BD148" s="21"/>
      <c r="BE148" s="21"/>
      <c r="BF148" s="21"/>
      <c r="BG148" s="21"/>
      <c r="BH148" s="21"/>
      <c r="BI148" s="21"/>
      <c r="BJ148" s="21"/>
      <c r="BK148" s="21"/>
      <c r="BL148" s="21"/>
      <c r="BM148" s="21"/>
      <c r="BN148" s="21"/>
      <c r="BO148" s="21"/>
      <c r="BP148" s="21"/>
      <c r="BQ148" s="21"/>
      <c r="BR148" s="21"/>
      <c r="BS148" s="21"/>
      <c r="BT148" s="21"/>
      <c r="BU148" s="21"/>
      <c r="BV148" s="21"/>
      <c r="BW148" s="21"/>
      <c r="BX148" s="21"/>
      <c r="BY148" s="21"/>
      <c r="BZ148" s="21"/>
      <c r="CA148" s="21"/>
      <c r="CB148" s="21"/>
      <c r="CC148" s="21"/>
      <c r="CD148" s="21"/>
      <c r="CE148" s="21"/>
      <c r="CF148" s="21"/>
      <c r="CG148" s="21"/>
      <c r="CH148" s="21"/>
      <c r="CI148" s="21"/>
      <c r="CJ148" s="21"/>
    </row>
    <row r="149" spans="1:88" s="22" customFormat="1" ht="23.25" customHeight="1" outlineLevel="1" x14ac:dyDescent="0.2">
      <c r="A149" s="29"/>
      <c r="B149" s="81"/>
      <c r="C149" s="82"/>
      <c r="D149" s="89"/>
      <c r="E149" s="91"/>
      <c r="F149" s="92"/>
      <c r="G149" s="93"/>
      <c r="H149" s="45"/>
      <c r="I149" s="41"/>
      <c r="J149" s="214"/>
      <c r="K149" s="37"/>
      <c r="L149" s="38"/>
      <c r="M149" s="38"/>
      <c r="N149" s="37"/>
      <c r="O149" s="39"/>
      <c r="P149" s="53"/>
      <c r="Q149" s="55"/>
      <c r="R149" s="137" t="s">
        <v>600</v>
      </c>
      <c r="S149" s="136" t="s">
        <v>600</v>
      </c>
      <c r="T149" s="136" t="s">
        <v>17</v>
      </c>
      <c r="U149" s="136" t="s">
        <v>17</v>
      </c>
      <c r="V149" s="136"/>
      <c r="W149" s="136"/>
      <c r="X149" s="263"/>
      <c r="Y149" s="1" t="str">
        <f t="shared" si="0"/>
        <v>_</v>
      </c>
      <c r="Z149" s="1" t="str">
        <f t="shared" si="1"/>
        <v>_</v>
      </c>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c r="AZ149" s="21"/>
      <c r="BA149" s="21"/>
      <c r="BB149" s="21"/>
      <c r="BC149" s="21"/>
      <c r="BD149" s="21"/>
      <c r="BE149" s="21"/>
      <c r="BF149" s="21"/>
      <c r="BG149" s="21"/>
      <c r="BH149" s="21"/>
      <c r="BI149" s="21"/>
      <c r="BJ149" s="21"/>
      <c r="BK149" s="21"/>
      <c r="BL149" s="21"/>
      <c r="BM149" s="21"/>
      <c r="BN149" s="21"/>
      <c r="BO149" s="21"/>
      <c r="BP149" s="21"/>
      <c r="BQ149" s="21"/>
      <c r="BR149" s="21"/>
      <c r="BS149" s="21"/>
      <c r="BT149" s="21"/>
      <c r="BU149" s="21"/>
      <c r="BV149" s="21"/>
      <c r="BW149" s="21"/>
      <c r="BX149" s="21"/>
      <c r="BY149" s="21"/>
      <c r="BZ149" s="21"/>
      <c r="CA149" s="21"/>
      <c r="CB149" s="21"/>
      <c r="CC149" s="21"/>
      <c r="CD149" s="21"/>
      <c r="CE149" s="21"/>
      <c r="CF149" s="21"/>
      <c r="CG149" s="21"/>
      <c r="CH149" s="21"/>
      <c r="CI149" s="21"/>
      <c r="CJ149" s="21"/>
    </row>
    <row r="150" spans="1:88" s="22" customFormat="1" ht="23.25" customHeight="1" outlineLevel="1" x14ac:dyDescent="0.2">
      <c r="A150" s="29"/>
      <c r="B150" s="81"/>
      <c r="C150" s="82"/>
      <c r="D150" s="89"/>
      <c r="E150" s="91"/>
      <c r="F150" s="92"/>
      <c r="G150" s="93"/>
      <c r="H150" s="45"/>
      <c r="I150" s="41"/>
      <c r="J150" s="214"/>
      <c r="K150" s="37"/>
      <c r="L150" s="38"/>
      <c r="M150" s="38"/>
      <c r="N150" s="37"/>
      <c r="O150" s="39"/>
      <c r="P150" s="53"/>
      <c r="Q150" s="55"/>
      <c r="R150" s="137" t="s">
        <v>600</v>
      </c>
      <c r="S150" s="136" t="s">
        <v>600</v>
      </c>
      <c r="T150" s="136" t="s">
        <v>17</v>
      </c>
      <c r="U150" s="136" t="s">
        <v>17</v>
      </c>
      <c r="V150" s="136"/>
      <c r="W150" s="136"/>
      <c r="X150" s="263"/>
      <c r="Y150" s="1" t="str">
        <f t="shared" si="0"/>
        <v>_</v>
      </c>
      <c r="Z150" s="1" t="str">
        <f t="shared" si="1"/>
        <v>_</v>
      </c>
      <c r="AA150" s="21"/>
      <c r="AB150" s="21"/>
      <c r="AC150" s="21"/>
      <c r="AD150" s="21"/>
      <c r="AE150" s="21"/>
      <c r="AF150" s="21"/>
      <c r="AG150" s="21"/>
      <c r="AH150" s="21"/>
      <c r="AI150" s="21"/>
      <c r="AJ150" s="21"/>
      <c r="AK150" s="21"/>
      <c r="AL150" s="21"/>
      <c r="AM150" s="21"/>
      <c r="AN150" s="21"/>
      <c r="AO150" s="21"/>
      <c r="AP150" s="21"/>
      <c r="AQ150" s="21"/>
      <c r="AR150" s="21"/>
      <c r="AS150" s="21"/>
      <c r="AT150" s="21"/>
      <c r="AU150" s="21"/>
      <c r="AV150" s="21"/>
      <c r="AW150" s="21"/>
      <c r="AX150" s="21"/>
      <c r="AY150" s="21"/>
      <c r="AZ150" s="21"/>
      <c r="BA150" s="21"/>
      <c r="BB150" s="21"/>
      <c r="BC150" s="21"/>
      <c r="BD150" s="21"/>
      <c r="BE150" s="21"/>
      <c r="BF150" s="21"/>
      <c r="BG150" s="21"/>
      <c r="BH150" s="21"/>
      <c r="BI150" s="21"/>
      <c r="BJ150" s="21"/>
      <c r="BK150" s="21"/>
      <c r="BL150" s="21"/>
      <c r="BM150" s="21"/>
      <c r="BN150" s="21"/>
      <c r="BO150" s="21"/>
      <c r="BP150" s="21"/>
      <c r="BQ150" s="21"/>
      <c r="BR150" s="21"/>
      <c r="BS150" s="21"/>
      <c r="BT150" s="21"/>
      <c r="BU150" s="21"/>
      <c r="BV150" s="21"/>
      <c r="BW150" s="21"/>
      <c r="BX150" s="21"/>
      <c r="BY150" s="21"/>
      <c r="BZ150" s="21"/>
      <c r="CA150" s="21"/>
      <c r="CB150" s="21"/>
      <c r="CC150" s="21"/>
      <c r="CD150" s="21"/>
      <c r="CE150" s="21"/>
      <c r="CF150" s="21"/>
      <c r="CG150" s="21"/>
      <c r="CH150" s="21"/>
      <c r="CI150" s="21"/>
      <c r="CJ150" s="21"/>
    </row>
    <row r="151" spans="1:88" s="22" customFormat="1" ht="23.25" customHeight="1" outlineLevel="1" x14ac:dyDescent="0.2">
      <c r="A151" s="29"/>
      <c r="B151" s="81"/>
      <c r="C151" s="82"/>
      <c r="D151" s="89"/>
      <c r="E151" s="91"/>
      <c r="F151" s="92"/>
      <c r="G151" s="93"/>
      <c r="H151" s="45"/>
      <c r="I151" s="41"/>
      <c r="J151" s="214"/>
      <c r="K151" s="37"/>
      <c r="L151" s="38"/>
      <c r="M151" s="38"/>
      <c r="N151" s="37"/>
      <c r="O151" s="39"/>
      <c r="P151" s="53"/>
      <c r="Q151" s="55"/>
      <c r="R151" s="137" t="s">
        <v>600</v>
      </c>
      <c r="S151" s="136" t="s">
        <v>600</v>
      </c>
      <c r="T151" s="136" t="s">
        <v>17</v>
      </c>
      <c r="U151" s="136" t="s">
        <v>17</v>
      </c>
      <c r="V151" s="136"/>
      <c r="W151" s="136"/>
      <c r="X151" s="263"/>
      <c r="Y151" s="1" t="str">
        <f t="shared" si="0"/>
        <v>_</v>
      </c>
      <c r="Z151" s="1" t="str">
        <f t="shared" si="1"/>
        <v>_</v>
      </c>
      <c r="AA151" s="21"/>
      <c r="AB151" s="21"/>
      <c r="AC151" s="21"/>
      <c r="AD151" s="21"/>
      <c r="AE151" s="21"/>
      <c r="AF151" s="21"/>
      <c r="AG151" s="21"/>
      <c r="AH151" s="21"/>
      <c r="AI151" s="21"/>
      <c r="AJ151" s="21"/>
      <c r="AK151" s="21"/>
      <c r="AL151" s="21"/>
      <c r="AM151" s="21"/>
      <c r="AN151" s="21"/>
      <c r="AO151" s="21"/>
      <c r="AP151" s="21"/>
      <c r="AQ151" s="21"/>
      <c r="AR151" s="21"/>
      <c r="AS151" s="21"/>
      <c r="AT151" s="21"/>
      <c r="AU151" s="21"/>
      <c r="AV151" s="21"/>
      <c r="AW151" s="21"/>
      <c r="AX151" s="21"/>
      <c r="AY151" s="21"/>
      <c r="AZ151" s="21"/>
      <c r="BA151" s="21"/>
      <c r="BB151" s="21"/>
      <c r="BC151" s="21"/>
      <c r="BD151" s="21"/>
      <c r="BE151" s="21"/>
      <c r="BF151" s="21"/>
      <c r="BG151" s="21"/>
      <c r="BH151" s="21"/>
      <c r="BI151" s="21"/>
      <c r="BJ151" s="21"/>
      <c r="BK151" s="21"/>
      <c r="BL151" s="21"/>
      <c r="BM151" s="21"/>
      <c r="BN151" s="21"/>
      <c r="BO151" s="21"/>
      <c r="BP151" s="21"/>
      <c r="BQ151" s="21"/>
      <c r="BR151" s="21"/>
      <c r="BS151" s="21"/>
      <c r="BT151" s="21"/>
      <c r="BU151" s="21"/>
      <c r="BV151" s="21"/>
      <c r="BW151" s="21"/>
      <c r="BX151" s="21"/>
      <c r="BY151" s="21"/>
      <c r="BZ151" s="21"/>
      <c r="CA151" s="21"/>
      <c r="CB151" s="21"/>
      <c r="CC151" s="21"/>
      <c r="CD151" s="21"/>
      <c r="CE151" s="21"/>
      <c r="CF151" s="21"/>
      <c r="CG151" s="21"/>
      <c r="CH151" s="21"/>
      <c r="CI151" s="21"/>
      <c r="CJ151" s="21"/>
    </row>
    <row r="152" spans="1:88" s="22" customFormat="1" ht="23.25" customHeight="1" outlineLevel="1" x14ac:dyDescent="0.2">
      <c r="A152" s="29"/>
      <c r="B152" s="81"/>
      <c r="C152" s="82"/>
      <c r="D152" s="89"/>
      <c r="E152" s="91"/>
      <c r="F152" s="92"/>
      <c r="G152" s="93"/>
      <c r="H152" s="45"/>
      <c r="I152" s="41"/>
      <c r="J152" s="214"/>
      <c r="K152" s="37"/>
      <c r="L152" s="38"/>
      <c r="M152" s="38"/>
      <c r="N152" s="37"/>
      <c r="O152" s="39"/>
      <c r="P152" s="53"/>
      <c r="Q152" s="55"/>
      <c r="R152" s="137" t="s">
        <v>600</v>
      </c>
      <c r="S152" s="136" t="s">
        <v>600</v>
      </c>
      <c r="T152" s="136" t="s">
        <v>17</v>
      </c>
      <c r="U152" s="136" t="s">
        <v>17</v>
      </c>
      <c r="V152" s="136"/>
      <c r="W152" s="136"/>
      <c r="X152" s="263"/>
      <c r="Y152" s="1" t="str">
        <f t="shared" si="0"/>
        <v>_</v>
      </c>
      <c r="Z152" s="1" t="str">
        <f t="shared" si="1"/>
        <v>_</v>
      </c>
      <c r="AA152" s="21"/>
      <c r="AB152" s="21"/>
      <c r="AC152" s="21"/>
      <c r="AD152" s="21"/>
      <c r="AE152" s="21"/>
      <c r="AF152" s="21"/>
      <c r="AG152" s="21"/>
      <c r="AH152" s="21"/>
      <c r="AI152" s="21"/>
      <c r="AJ152" s="21"/>
      <c r="AK152" s="21"/>
      <c r="AL152" s="21"/>
      <c r="AM152" s="21"/>
      <c r="AN152" s="21"/>
      <c r="AO152" s="21"/>
      <c r="AP152" s="21"/>
      <c r="AQ152" s="21"/>
      <c r="AR152" s="21"/>
      <c r="AS152" s="21"/>
      <c r="AT152" s="21"/>
      <c r="AU152" s="21"/>
      <c r="AV152" s="21"/>
      <c r="AW152" s="21"/>
      <c r="AX152" s="21"/>
      <c r="AY152" s="21"/>
      <c r="AZ152" s="21"/>
      <c r="BA152" s="21"/>
      <c r="BB152" s="21"/>
      <c r="BC152" s="21"/>
      <c r="BD152" s="21"/>
      <c r="BE152" s="21"/>
      <c r="BF152" s="21"/>
      <c r="BG152" s="21"/>
      <c r="BH152" s="21"/>
      <c r="BI152" s="21"/>
      <c r="BJ152" s="21"/>
      <c r="BK152" s="21"/>
      <c r="BL152" s="21"/>
      <c r="BM152" s="21"/>
      <c r="BN152" s="21"/>
      <c r="BO152" s="21"/>
      <c r="BP152" s="21"/>
      <c r="BQ152" s="21"/>
      <c r="BR152" s="21"/>
      <c r="BS152" s="21"/>
      <c r="BT152" s="21"/>
      <c r="BU152" s="21"/>
      <c r="BV152" s="21"/>
      <c r="BW152" s="21"/>
      <c r="BX152" s="21"/>
      <c r="BY152" s="21"/>
      <c r="BZ152" s="21"/>
      <c r="CA152" s="21"/>
      <c r="CB152" s="21"/>
      <c r="CC152" s="21"/>
      <c r="CD152" s="21"/>
      <c r="CE152" s="21"/>
      <c r="CF152" s="21"/>
      <c r="CG152" s="21"/>
      <c r="CH152" s="21"/>
      <c r="CI152" s="21"/>
      <c r="CJ152" s="21"/>
    </row>
    <row r="153" spans="1:88" s="22" customFormat="1" ht="23.25" customHeight="1" outlineLevel="1" x14ac:dyDescent="0.2">
      <c r="A153" s="29"/>
      <c r="B153" s="81"/>
      <c r="C153" s="82"/>
      <c r="D153" s="89"/>
      <c r="E153" s="91"/>
      <c r="F153" s="92"/>
      <c r="G153" s="93"/>
      <c r="H153" s="45"/>
      <c r="I153" s="41"/>
      <c r="J153" s="214"/>
      <c r="K153" s="37"/>
      <c r="L153" s="38"/>
      <c r="M153" s="38"/>
      <c r="N153" s="37"/>
      <c r="O153" s="39"/>
      <c r="P153" s="53"/>
      <c r="Q153" s="55"/>
      <c r="R153" s="137" t="s">
        <v>600</v>
      </c>
      <c r="S153" s="136" t="s">
        <v>600</v>
      </c>
      <c r="T153" s="136" t="s">
        <v>17</v>
      </c>
      <c r="U153" s="136" t="s">
        <v>17</v>
      </c>
      <c r="V153" s="136"/>
      <c r="W153" s="136"/>
      <c r="X153" s="263"/>
      <c r="Y153" s="1" t="str">
        <f t="shared" si="0"/>
        <v>_</v>
      </c>
      <c r="Z153" s="1" t="str">
        <f t="shared" si="1"/>
        <v>_</v>
      </c>
      <c r="AA153" s="21"/>
      <c r="AB153" s="21"/>
      <c r="AC153" s="21"/>
      <c r="AD153" s="21"/>
      <c r="AE153" s="21"/>
      <c r="AF153" s="21"/>
      <c r="AG153" s="21"/>
      <c r="AH153" s="21"/>
      <c r="AI153" s="21"/>
      <c r="AJ153" s="21"/>
      <c r="AK153" s="21"/>
      <c r="AL153" s="21"/>
      <c r="AM153" s="21"/>
      <c r="AN153" s="21"/>
      <c r="AO153" s="21"/>
      <c r="AP153" s="21"/>
      <c r="AQ153" s="21"/>
      <c r="AR153" s="21"/>
      <c r="AS153" s="21"/>
      <c r="AT153" s="21"/>
      <c r="AU153" s="21"/>
      <c r="AV153" s="21"/>
      <c r="AW153" s="21"/>
      <c r="AX153" s="21"/>
      <c r="AY153" s="21"/>
      <c r="AZ153" s="21"/>
      <c r="BA153" s="21"/>
      <c r="BB153" s="21"/>
      <c r="BC153" s="21"/>
      <c r="BD153" s="21"/>
      <c r="BE153" s="21"/>
      <c r="BF153" s="21"/>
      <c r="BG153" s="21"/>
      <c r="BH153" s="21"/>
      <c r="BI153" s="21"/>
      <c r="BJ153" s="21"/>
      <c r="BK153" s="21"/>
      <c r="BL153" s="21"/>
      <c r="BM153" s="21"/>
      <c r="BN153" s="21"/>
      <c r="BO153" s="21"/>
      <c r="BP153" s="21"/>
      <c r="BQ153" s="21"/>
      <c r="BR153" s="21"/>
      <c r="BS153" s="21"/>
      <c r="BT153" s="21"/>
      <c r="BU153" s="21"/>
      <c r="BV153" s="21"/>
      <c r="BW153" s="21"/>
      <c r="BX153" s="21"/>
      <c r="BY153" s="21"/>
      <c r="BZ153" s="21"/>
      <c r="CA153" s="21"/>
      <c r="CB153" s="21"/>
      <c r="CC153" s="21"/>
      <c r="CD153" s="21"/>
      <c r="CE153" s="21"/>
      <c r="CF153" s="21"/>
      <c r="CG153" s="21"/>
      <c r="CH153" s="21"/>
      <c r="CI153" s="21"/>
      <c r="CJ153" s="21"/>
    </row>
    <row r="154" spans="1:88" s="22" customFormat="1" ht="23.25" customHeight="1" outlineLevel="1" x14ac:dyDescent="0.2">
      <c r="A154" s="29"/>
      <c r="B154" s="81"/>
      <c r="C154" s="82"/>
      <c r="D154" s="89"/>
      <c r="E154" s="91"/>
      <c r="F154" s="92"/>
      <c r="G154" s="93"/>
      <c r="H154" s="45"/>
      <c r="I154" s="41"/>
      <c r="J154" s="214"/>
      <c r="K154" s="37"/>
      <c r="L154" s="38"/>
      <c r="M154" s="38"/>
      <c r="N154" s="37"/>
      <c r="O154" s="39"/>
      <c r="P154" s="53"/>
      <c r="Q154" s="55"/>
      <c r="R154" s="137" t="s">
        <v>600</v>
      </c>
      <c r="S154" s="136" t="s">
        <v>600</v>
      </c>
      <c r="T154" s="136" t="s">
        <v>17</v>
      </c>
      <c r="U154" s="136" t="s">
        <v>17</v>
      </c>
      <c r="V154" s="136"/>
      <c r="W154" s="136"/>
      <c r="X154" s="263"/>
      <c r="Y154" s="1" t="str">
        <f t="shared" si="0"/>
        <v>_</v>
      </c>
      <c r="Z154" s="1" t="str">
        <f t="shared" si="1"/>
        <v>_</v>
      </c>
      <c r="AA154" s="21"/>
      <c r="AB154" s="21"/>
      <c r="AC154" s="21"/>
      <c r="AD154" s="21"/>
      <c r="AE154" s="21"/>
      <c r="AF154" s="21"/>
      <c r="AG154" s="21"/>
      <c r="AH154" s="21"/>
      <c r="AI154" s="21"/>
      <c r="AJ154" s="21"/>
      <c r="AK154" s="21"/>
      <c r="AL154" s="21"/>
      <c r="AM154" s="21"/>
      <c r="AN154" s="21"/>
      <c r="AO154" s="21"/>
      <c r="AP154" s="21"/>
      <c r="AQ154" s="21"/>
      <c r="AR154" s="21"/>
      <c r="AS154" s="21"/>
      <c r="AT154" s="21"/>
      <c r="AU154" s="21"/>
      <c r="AV154" s="21"/>
      <c r="AW154" s="21"/>
      <c r="AX154" s="21"/>
      <c r="AY154" s="21"/>
      <c r="AZ154" s="21"/>
      <c r="BA154" s="21"/>
      <c r="BB154" s="21"/>
      <c r="BC154" s="21"/>
      <c r="BD154" s="21"/>
      <c r="BE154" s="21"/>
      <c r="BF154" s="21"/>
      <c r="BG154" s="21"/>
      <c r="BH154" s="21"/>
      <c r="BI154" s="21"/>
      <c r="BJ154" s="21"/>
      <c r="BK154" s="21"/>
      <c r="BL154" s="21"/>
      <c r="BM154" s="21"/>
      <c r="BN154" s="21"/>
      <c r="BO154" s="21"/>
      <c r="BP154" s="21"/>
      <c r="BQ154" s="21"/>
      <c r="BR154" s="21"/>
      <c r="BS154" s="21"/>
      <c r="BT154" s="21"/>
      <c r="BU154" s="21"/>
      <c r="BV154" s="21"/>
      <c r="BW154" s="21"/>
      <c r="BX154" s="21"/>
      <c r="BY154" s="21"/>
      <c r="BZ154" s="21"/>
      <c r="CA154" s="21"/>
      <c r="CB154" s="21"/>
      <c r="CC154" s="21"/>
      <c r="CD154" s="21"/>
      <c r="CE154" s="21"/>
      <c r="CF154" s="21"/>
      <c r="CG154" s="21"/>
      <c r="CH154" s="21"/>
      <c r="CI154" s="21"/>
      <c r="CJ154" s="21"/>
    </row>
    <row r="155" spans="1:88" s="22" customFormat="1" ht="23.25" customHeight="1" outlineLevel="1" x14ac:dyDescent="0.2">
      <c r="A155" s="29"/>
      <c r="B155" s="81"/>
      <c r="C155" s="82"/>
      <c r="D155" s="89"/>
      <c r="E155" s="91"/>
      <c r="F155" s="92"/>
      <c r="G155" s="93"/>
      <c r="H155" s="45"/>
      <c r="I155" s="41"/>
      <c r="J155" s="214"/>
      <c r="K155" s="37"/>
      <c r="L155" s="38"/>
      <c r="M155" s="38"/>
      <c r="N155" s="37"/>
      <c r="O155" s="39"/>
      <c r="P155" s="53"/>
      <c r="Q155" s="55"/>
      <c r="R155" s="137" t="s">
        <v>600</v>
      </c>
      <c r="S155" s="136" t="s">
        <v>600</v>
      </c>
      <c r="T155" s="136" t="s">
        <v>17</v>
      </c>
      <c r="U155" s="136" t="s">
        <v>17</v>
      </c>
      <c r="V155" s="136"/>
      <c r="W155" s="136"/>
      <c r="X155" s="263"/>
      <c r="Y155" s="1" t="str">
        <f t="shared" si="0"/>
        <v>_</v>
      </c>
      <c r="Z155" s="1" t="str">
        <f t="shared" si="1"/>
        <v>_</v>
      </c>
      <c r="AA155" s="21"/>
      <c r="AB155" s="21"/>
      <c r="AC155" s="21"/>
      <c r="AD155" s="21"/>
      <c r="AE155" s="21"/>
      <c r="AF155" s="21"/>
      <c r="AG155" s="21"/>
      <c r="AH155" s="21"/>
      <c r="AI155" s="21"/>
      <c r="AJ155" s="21"/>
      <c r="AK155" s="21"/>
      <c r="AL155" s="21"/>
      <c r="AM155" s="21"/>
      <c r="AN155" s="21"/>
      <c r="AO155" s="21"/>
      <c r="AP155" s="21"/>
      <c r="AQ155" s="21"/>
      <c r="AR155" s="21"/>
      <c r="AS155" s="21"/>
      <c r="AT155" s="21"/>
      <c r="AU155" s="21"/>
      <c r="AV155" s="21"/>
      <c r="AW155" s="21"/>
      <c r="AX155" s="21"/>
      <c r="AY155" s="21"/>
      <c r="AZ155" s="21"/>
      <c r="BA155" s="21"/>
      <c r="BB155" s="21"/>
      <c r="BC155" s="21"/>
      <c r="BD155" s="21"/>
      <c r="BE155" s="21"/>
      <c r="BF155" s="21"/>
      <c r="BG155" s="21"/>
      <c r="BH155" s="21"/>
      <c r="BI155" s="21"/>
      <c r="BJ155" s="21"/>
      <c r="BK155" s="21"/>
      <c r="BL155" s="21"/>
      <c r="BM155" s="21"/>
      <c r="BN155" s="21"/>
      <c r="BO155" s="21"/>
      <c r="BP155" s="21"/>
      <c r="BQ155" s="21"/>
      <c r="BR155" s="21"/>
      <c r="BS155" s="21"/>
      <c r="BT155" s="21"/>
      <c r="BU155" s="21"/>
      <c r="BV155" s="21"/>
      <c r="BW155" s="21"/>
      <c r="BX155" s="21"/>
      <c r="BY155" s="21"/>
      <c r="BZ155" s="21"/>
      <c r="CA155" s="21"/>
      <c r="CB155" s="21"/>
      <c r="CC155" s="21"/>
      <c r="CD155" s="21"/>
      <c r="CE155" s="21"/>
      <c r="CF155" s="21"/>
      <c r="CG155" s="21"/>
      <c r="CH155" s="21"/>
      <c r="CI155" s="21"/>
      <c r="CJ155" s="21"/>
    </row>
    <row r="156" spans="1:88" s="22" customFormat="1" ht="23.25" customHeight="1" outlineLevel="1" x14ac:dyDescent="0.2">
      <c r="A156" s="29"/>
      <c r="B156" s="81"/>
      <c r="C156" s="82"/>
      <c r="D156" s="89"/>
      <c r="E156" s="91"/>
      <c r="F156" s="92"/>
      <c r="G156" s="93"/>
      <c r="H156" s="45"/>
      <c r="I156" s="41"/>
      <c r="J156" s="214"/>
      <c r="K156" s="37"/>
      <c r="L156" s="38"/>
      <c r="M156" s="38"/>
      <c r="N156" s="37"/>
      <c r="O156" s="39"/>
      <c r="P156" s="53"/>
      <c r="Q156" s="55"/>
      <c r="R156" s="137" t="s">
        <v>600</v>
      </c>
      <c r="S156" s="136" t="s">
        <v>600</v>
      </c>
      <c r="T156" s="136" t="s">
        <v>17</v>
      </c>
      <c r="U156" s="136" t="s">
        <v>17</v>
      </c>
      <c r="V156" s="136"/>
      <c r="W156" s="136"/>
      <c r="X156" s="263"/>
      <c r="Y156" s="1" t="str">
        <f t="shared" si="0"/>
        <v>_</v>
      </c>
      <c r="Z156" s="1" t="str">
        <f t="shared" si="1"/>
        <v>_</v>
      </c>
      <c r="AA156" s="21"/>
      <c r="AB156" s="21"/>
      <c r="AC156" s="21"/>
      <c r="AD156" s="21"/>
      <c r="AE156" s="21"/>
      <c r="AF156" s="21"/>
      <c r="AG156" s="21"/>
      <c r="AH156" s="21"/>
      <c r="AI156" s="21"/>
      <c r="AJ156" s="21"/>
      <c r="AK156" s="21"/>
      <c r="AL156" s="21"/>
      <c r="AM156" s="21"/>
      <c r="AN156" s="21"/>
      <c r="AO156" s="21"/>
      <c r="AP156" s="21"/>
      <c r="AQ156" s="21"/>
      <c r="AR156" s="21"/>
      <c r="AS156" s="21"/>
      <c r="AT156" s="21"/>
      <c r="AU156" s="21"/>
      <c r="AV156" s="21"/>
      <c r="AW156" s="21"/>
      <c r="AX156" s="21"/>
      <c r="AY156" s="21"/>
      <c r="AZ156" s="21"/>
      <c r="BA156" s="21"/>
      <c r="BB156" s="21"/>
      <c r="BC156" s="21"/>
      <c r="BD156" s="21"/>
      <c r="BE156" s="21"/>
      <c r="BF156" s="21"/>
      <c r="BG156" s="21"/>
      <c r="BH156" s="21"/>
      <c r="BI156" s="21"/>
      <c r="BJ156" s="21"/>
      <c r="BK156" s="21"/>
      <c r="BL156" s="21"/>
      <c r="BM156" s="21"/>
      <c r="BN156" s="21"/>
      <c r="BO156" s="21"/>
      <c r="BP156" s="21"/>
      <c r="BQ156" s="21"/>
      <c r="BR156" s="21"/>
      <c r="BS156" s="21"/>
      <c r="BT156" s="21"/>
      <c r="BU156" s="21"/>
      <c r="BV156" s="21"/>
      <c r="BW156" s="21"/>
      <c r="BX156" s="21"/>
      <c r="BY156" s="21"/>
      <c r="BZ156" s="21"/>
      <c r="CA156" s="21"/>
      <c r="CB156" s="21"/>
      <c r="CC156" s="21"/>
      <c r="CD156" s="21"/>
      <c r="CE156" s="21"/>
      <c r="CF156" s="21"/>
      <c r="CG156" s="21"/>
      <c r="CH156" s="21"/>
      <c r="CI156" s="21"/>
      <c r="CJ156" s="21"/>
    </row>
    <row r="157" spans="1:88" s="22" customFormat="1" ht="23.25" customHeight="1" outlineLevel="1" x14ac:dyDescent="0.2">
      <c r="A157" s="29"/>
      <c r="B157" s="81"/>
      <c r="C157" s="82"/>
      <c r="D157" s="89"/>
      <c r="E157" s="91"/>
      <c r="F157" s="92"/>
      <c r="G157" s="93"/>
      <c r="H157" s="45"/>
      <c r="I157" s="41"/>
      <c r="J157" s="214"/>
      <c r="K157" s="37"/>
      <c r="L157" s="38"/>
      <c r="M157" s="38"/>
      <c r="N157" s="37"/>
      <c r="O157" s="39"/>
      <c r="P157" s="53"/>
      <c r="Q157" s="55"/>
      <c r="R157" s="137" t="s">
        <v>600</v>
      </c>
      <c r="S157" s="136" t="s">
        <v>600</v>
      </c>
      <c r="T157" s="136" t="s">
        <v>17</v>
      </c>
      <c r="U157" s="136" t="s">
        <v>17</v>
      </c>
      <c r="V157" s="136"/>
      <c r="W157" s="136"/>
      <c r="X157" s="263"/>
      <c r="Y157" s="1" t="str">
        <f t="shared" si="0"/>
        <v>_</v>
      </c>
      <c r="Z157" s="1" t="str">
        <f t="shared" si="1"/>
        <v>_</v>
      </c>
      <c r="AA157" s="21"/>
      <c r="AB157" s="21"/>
      <c r="AC157" s="21"/>
      <c r="AD157" s="21"/>
      <c r="AE157" s="21"/>
      <c r="AF157" s="21"/>
      <c r="AG157" s="21"/>
      <c r="AH157" s="21"/>
      <c r="AI157" s="21"/>
      <c r="AJ157" s="21"/>
      <c r="AK157" s="21"/>
      <c r="AL157" s="21"/>
      <c r="AM157" s="21"/>
      <c r="AN157" s="21"/>
      <c r="AO157" s="21"/>
      <c r="AP157" s="21"/>
      <c r="AQ157" s="21"/>
      <c r="AR157" s="21"/>
      <c r="AS157" s="21"/>
      <c r="AT157" s="21"/>
      <c r="AU157" s="21"/>
      <c r="AV157" s="21"/>
      <c r="AW157" s="21"/>
      <c r="AX157" s="21"/>
      <c r="AY157" s="21"/>
      <c r="AZ157" s="21"/>
      <c r="BA157" s="21"/>
      <c r="BB157" s="21"/>
      <c r="BC157" s="21"/>
      <c r="BD157" s="21"/>
      <c r="BE157" s="21"/>
      <c r="BF157" s="21"/>
      <c r="BG157" s="21"/>
      <c r="BH157" s="21"/>
      <c r="BI157" s="21"/>
      <c r="BJ157" s="21"/>
      <c r="BK157" s="21"/>
      <c r="BL157" s="21"/>
      <c r="BM157" s="21"/>
      <c r="BN157" s="21"/>
      <c r="BO157" s="21"/>
      <c r="BP157" s="21"/>
      <c r="BQ157" s="21"/>
      <c r="BR157" s="21"/>
      <c r="BS157" s="21"/>
      <c r="BT157" s="21"/>
      <c r="BU157" s="21"/>
      <c r="BV157" s="21"/>
      <c r="BW157" s="21"/>
      <c r="BX157" s="21"/>
      <c r="BY157" s="21"/>
      <c r="BZ157" s="21"/>
      <c r="CA157" s="21"/>
      <c r="CB157" s="21"/>
      <c r="CC157" s="21"/>
      <c r="CD157" s="21"/>
      <c r="CE157" s="21"/>
      <c r="CF157" s="21"/>
      <c r="CG157" s="21"/>
      <c r="CH157" s="21"/>
      <c r="CI157" s="21"/>
      <c r="CJ157" s="21"/>
    </row>
    <row r="158" spans="1:88" s="22" customFormat="1" ht="23.25" customHeight="1" outlineLevel="1" x14ac:dyDescent="0.2">
      <c r="A158" s="29"/>
      <c r="B158" s="81"/>
      <c r="C158" s="82"/>
      <c r="D158" s="89"/>
      <c r="E158" s="91"/>
      <c r="F158" s="92"/>
      <c r="G158" s="93"/>
      <c r="H158" s="45"/>
      <c r="I158" s="41"/>
      <c r="J158" s="214"/>
      <c r="K158" s="37"/>
      <c r="L158" s="38"/>
      <c r="M158" s="38"/>
      <c r="N158" s="37"/>
      <c r="O158" s="39"/>
      <c r="P158" s="53"/>
      <c r="Q158" s="55"/>
      <c r="R158" s="137" t="s">
        <v>600</v>
      </c>
      <c r="S158" s="136" t="s">
        <v>600</v>
      </c>
      <c r="T158" s="136" t="s">
        <v>17</v>
      </c>
      <c r="U158" s="136" t="s">
        <v>17</v>
      </c>
      <c r="V158" s="136"/>
      <c r="W158" s="136"/>
      <c r="X158" s="263"/>
      <c r="Y158" s="1" t="str">
        <f t="shared" si="0"/>
        <v>_</v>
      </c>
      <c r="Z158" s="1" t="str">
        <f t="shared" si="1"/>
        <v>_</v>
      </c>
      <c r="AA158" s="21"/>
      <c r="AB158" s="21"/>
      <c r="AC158" s="21"/>
      <c r="AD158" s="21"/>
      <c r="AE158" s="21"/>
      <c r="AF158" s="21"/>
      <c r="AG158" s="21"/>
      <c r="AH158" s="21"/>
      <c r="AI158" s="21"/>
      <c r="AJ158" s="21"/>
      <c r="AK158" s="21"/>
      <c r="AL158" s="21"/>
      <c r="AM158" s="21"/>
      <c r="AN158" s="21"/>
      <c r="AO158" s="21"/>
      <c r="AP158" s="21"/>
      <c r="AQ158" s="21"/>
      <c r="AR158" s="21"/>
      <c r="AS158" s="21"/>
      <c r="AT158" s="21"/>
      <c r="AU158" s="21"/>
      <c r="AV158" s="21"/>
      <c r="AW158" s="21"/>
      <c r="AX158" s="21"/>
      <c r="AY158" s="21"/>
      <c r="AZ158" s="21"/>
      <c r="BA158" s="21"/>
      <c r="BB158" s="21"/>
      <c r="BC158" s="21"/>
      <c r="BD158" s="21"/>
      <c r="BE158" s="21"/>
      <c r="BF158" s="21"/>
      <c r="BG158" s="21"/>
      <c r="BH158" s="21"/>
      <c r="BI158" s="21"/>
      <c r="BJ158" s="21"/>
      <c r="BK158" s="21"/>
      <c r="BL158" s="21"/>
      <c r="BM158" s="21"/>
      <c r="BN158" s="21"/>
      <c r="BO158" s="21"/>
      <c r="BP158" s="21"/>
      <c r="BQ158" s="21"/>
      <c r="BR158" s="21"/>
      <c r="BS158" s="21"/>
      <c r="BT158" s="21"/>
      <c r="BU158" s="21"/>
      <c r="BV158" s="21"/>
      <c r="BW158" s="21"/>
      <c r="BX158" s="21"/>
      <c r="BY158" s="21"/>
      <c r="BZ158" s="21"/>
      <c r="CA158" s="21"/>
      <c r="CB158" s="21"/>
      <c r="CC158" s="21"/>
      <c r="CD158" s="21"/>
      <c r="CE158" s="21"/>
      <c r="CF158" s="21"/>
      <c r="CG158" s="21"/>
      <c r="CH158" s="21"/>
      <c r="CI158" s="21"/>
      <c r="CJ158" s="21"/>
    </row>
    <row r="159" spans="1:88" s="22" customFormat="1" ht="23.25" customHeight="1" outlineLevel="1" x14ac:dyDescent="0.2">
      <c r="A159" s="29"/>
      <c r="B159" s="81"/>
      <c r="C159" s="82"/>
      <c r="D159" s="89"/>
      <c r="E159" s="91"/>
      <c r="F159" s="92"/>
      <c r="G159" s="93"/>
      <c r="H159" s="45"/>
      <c r="I159" s="41"/>
      <c r="J159" s="214"/>
      <c r="K159" s="37"/>
      <c r="L159" s="38"/>
      <c r="M159" s="38"/>
      <c r="N159" s="37"/>
      <c r="O159" s="39"/>
      <c r="P159" s="53"/>
      <c r="Q159" s="55"/>
      <c r="R159" s="137" t="s">
        <v>600</v>
      </c>
      <c r="S159" s="136" t="s">
        <v>600</v>
      </c>
      <c r="T159" s="136" t="s">
        <v>17</v>
      </c>
      <c r="U159" s="136" t="s">
        <v>17</v>
      </c>
      <c r="V159" s="136"/>
      <c r="W159" s="136"/>
      <c r="X159" s="263"/>
      <c r="Y159" s="1" t="str">
        <f t="shared" si="0"/>
        <v>_</v>
      </c>
      <c r="Z159" s="1" t="str">
        <f t="shared" si="1"/>
        <v>_</v>
      </c>
      <c r="AA159" s="21"/>
      <c r="AB159" s="21"/>
      <c r="AC159" s="21"/>
      <c r="AD159" s="21"/>
      <c r="AE159" s="21"/>
      <c r="AF159" s="21"/>
      <c r="AG159" s="21"/>
      <c r="AH159" s="21"/>
      <c r="AI159" s="21"/>
      <c r="AJ159" s="21"/>
      <c r="AK159" s="21"/>
      <c r="AL159" s="21"/>
      <c r="AM159" s="21"/>
      <c r="AN159" s="21"/>
      <c r="AO159" s="21"/>
      <c r="AP159" s="21"/>
      <c r="AQ159" s="21"/>
      <c r="AR159" s="21"/>
      <c r="AS159" s="21"/>
      <c r="AT159" s="21"/>
      <c r="AU159" s="21"/>
      <c r="AV159" s="21"/>
      <c r="AW159" s="21"/>
      <c r="AX159" s="21"/>
      <c r="AY159" s="21"/>
      <c r="AZ159" s="21"/>
      <c r="BA159" s="21"/>
      <c r="BB159" s="21"/>
      <c r="BC159" s="21"/>
      <c r="BD159" s="21"/>
      <c r="BE159" s="21"/>
      <c r="BF159" s="21"/>
      <c r="BG159" s="21"/>
      <c r="BH159" s="21"/>
      <c r="BI159" s="21"/>
      <c r="BJ159" s="21"/>
      <c r="BK159" s="21"/>
      <c r="BL159" s="21"/>
      <c r="BM159" s="21"/>
      <c r="BN159" s="21"/>
      <c r="BO159" s="21"/>
      <c r="BP159" s="21"/>
      <c r="BQ159" s="21"/>
      <c r="BR159" s="21"/>
      <c r="BS159" s="21"/>
      <c r="BT159" s="21"/>
      <c r="BU159" s="21"/>
      <c r="BV159" s="21"/>
      <c r="BW159" s="21"/>
      <c r="BX159" s="21"/>
      <c r="BY159" s="21"/>
      <c r="BZ159" s="21"/>
      <c r="CA159" s="21"/>
      <c r="CB159" s="21"/>
      <c r="CC159" s="21"/>
      <c r="CD159" s="21"/>
      <c r="CE159" s="21"/>
      <c r="CF159" s="21"/>
      <c r="CG159" s="21"/>
      <c r="CH159" s="21"/>
      <c r="CI159" s="21"/>
      <c r="CJ159" s="21"/>
    </row>
    <row r="160" spans="1:88" s="22" customFormat="1" ht="23.25" customHeight="1" outlineLevel="1" x14ac:dyDescent="0.2">
      <c r="A160" s="29"/>
      <c r="B160" s="81"/>
      <c r="C160" s="82"/>
      <c r="D160" s="89"/>
      <c r="E160" s="91"/>
      <c r="F160" s="92"/>
      <c r="G160" s="93"/>
      <c r="H160" s="45"/>
      <c r="I160" s="41"/>
      <c r="J160" s="214"/>
      <c r="K160" s="37"/>
      <c r="L160" s="38"/>
      <c r="M160" s="38"/>
      <c r="N160" s="37"/>
      <c r="O160" s="39"/>
      <c r="P160" s="53"/>
      <c r="Q160" s="55"/>
      <c r="R160" s="137" t="s">
        <v>600</v>
      </c>
      <c r="S160" s="136" t="s">
        <v>600</v>
      </c>
      <c r="T160" s="136" t="s">
        <v>17</v>
      </c>
      <c r="U160" s="136" t="s">
        <v>17</v>
      </c>
      <c r="V160" s="136"/>
      <c r="W160" s="136"/>
      <c r="X160" s="263"/>
      <c r="Y160" s="1" t="str">
        <f t="shared" si="0"/>
        <v>_</v>
      </c>
      <c r="Z160" s="1" t="str">
        <f t="shared" si="1"/>
        <v>_</v>
      </c>
      <c r="AA160" s="21"/>
      <c r="AB160" s="21"/>
      <c r="AC160" s="21"/>
      <c r="AD160" s="21"/>
      <c r="AE160" s="21"/>
      <c r="AF160" s="21"/>
      <c r="AG160" s="21"/>
      <c r="AH160" s="21"/>
      <c r="AI160" s="21"/>
      <c r="AJ160" s="21"/>
      <c r="AK160" s="21"/>
      <c r="AL160" s="21"/>
      <c r="AM160" s="21"/>
      <c r="AN160" s="21"/>
      <c r="AO160" s="21"/>
      <c r="AP160" s="21"/>
      <c r="AQ160" s="21"/>
      <c r="AR160" s="21"/>
      <c r="AS160" s="21"/>
      <c r="AT160" s="21"/>
      <c r="AU160" s="21"/>
      <c r="AV160" s="21"/>
      <c r="AW160" s="21"/>
      <c r="AX160" s="21"/>
      <c r="AY160" s="21"/>
      <c r="AZ160" s="21"/>
      <c r="BA160" s="21"/>
      <c r="BB160" s="21"/>
      <c r="BC160" s="21"/>
      <c r="BD160" s="21"/>
      <c r="BE160" s="21"/>
      <c r="BF160" s="21"/>
      <c r="BG160" s="21"/>
      <c r="BH160" s="21"/>
      <c r="BI160" s="21"/>
      <c r="BJ160" s="21"/>
      <c r="BK160" s="21"/>
      <c r="BL160" s="21"/>
      <c r="BM160" s="21"/>
      <c r="BN160" s="21"/>
      <c r="BO160" s="21"/>
      <c r="BP160" s="21"/>
      <c r="BQ160" s="21"/>
      <c r="BR160" s="21"/>
      <c r="BS160" s="21"/>
      <c r="BT160" s="21"/>
      <c r="BU160" s="21"/>
      <c r="BV160" s="21"/>
      <c r="BW160" s="21"/>
      <c r="BX160" s="21"/>
      <c r="BY160" s="21"/>
      <c r="BZ160" s="21"/>
      <c r="CA160" s="21"/>
      <c r="CB160" s="21"/>
      <c r="CC160" s="21"/>
      <c r="CD160" s="21"/>
      <c r="CE160" s="21"/>
      <c r="CF160" s="21"/>
      <c r="CG160" s="21"/>
      <c r="CH160" s="21"/>
      <c r="CI160" s="21"/>
      <c r="CJ160" s="21"/>
    </row>
    <row r="161" spans="1:88" s="22" customFormat="1" ht="23.25" customHeight="1" outlineLevel="1" x14ac:dyDescent="0.2">
      <c r="A161" s="29"/>
      <c r="B161" s="81"/>
      <c r="C161" s="82"/>
      <c r="D161" s="89"/>
      <c r="E161" s="91"/>
      <c r="F161" s="92"/>
      <c r="G161" s="93"/>
      <c r="H161" s="45"/>
      <c r="I161" s="41"/>
      <c r="J161" s="214"/>
      <c r="K161" s="37"/>
      <c r="L161" s="38"/>
      <c r="M161" s="38"/>
      <c r="N161" s="37"/>
      <c r="O161" s="39"/>
      <c r="P161" s="53"/>
      <c r="Q161" s="55"/>
      <c r="R161" s="137" t="s">
        <v>600</v>
      </c>
      <c r="S161" s="136" t="s">
        <v>600</v>
      </c>
      <c r="T161" s="136" t="s">
        <v>17</v>
      </c>
      <c r="U161" s="136" t="s">
        <v>17</v>
      </c>
      <c r="V161" s="136"/>
      <c r="W161" s="136"/>
      <c r="X161" s="263"/>
      <c r="Y161" s="1" t="str">
        <f t="shared" si="0"/>
        <v>_</v>
      </c>
      <c r="Z161" s="1" t="str">
        <f t="shared" si="1"/>
        <v>_</v>
      </c>
      <c r="AA161" s="21"/>
      <c r="AB161" s="21"/>
      <c r="AC161" s="21"/>
      <c r="AD161" s="21"/>
      <c r="AE161" s="21"/>
      <c r="AF161" s="21"/>
      <c r="AG161" s="21"/>
      <c r="AH161" s="21"/>
      <c r="AI161" s="21"/>
      <c r="AJ161" s="21"/>
      <c r="AK161" s="21"/>
      <c r="AL161" s="21"/>
      <c r="AM161" s="21"/>
      <c r="AN161" s="21"/>
      <c r="AO161" s="21"/>
      <c r="AP161" s="21"/>
      <c r="AQ161" s="21"/>
      <c r="AR161" s="21"/>
      <c r="AS161" s="21"/>
      <c r="AT161" s="21"/>
      <c r="AU161" s="21"/>
      <c r="AV161" s="21"/>
      <c r="AW161" s="21"/>
      <c r="AX161" s="21"/>
      <c r="AY161" s="21"/>
      <c r="AZ161" s="21"/>
      <c r="BA161" s="21"/>
      <c r="BB161" s="21"/>
      <c r="BC161" s="21"/>
      <c r="BD161" s="21"/>
      <c r="BE161" s="21"/>
      <c r="BF161" s="21"/>
      <c r="BG161" s="21"/>
      <c r="BH161" s="21"/>
      <c r="BI161" s="21"/>
      <c r="BJ161" s="21"/>
      <c r="BK161" s="21"/>
      <c r="BL161" s="21"/>
      <c r="BM161" s="21"/>
      <c r="BN161" s="21"/>
      <c r="BO161" s="21"/>
      <c r="BP161" s="21"/>
      <c r="BQ161" s="21"/>
      <c r="BR161" s="21"/>
      <c r="BS161" s="21"/>
      <c r="BT161" s="21"/>
      <c r="BU161" s="21"/>
      <c r="BV161" s="21"/>
      <c r="BW161" s="21"/>
      <c r="BX161" s="21"/>
      <c r="BY161" s="21"/>
      <c r="BZ161" s="21"/>
      <c r="CA161" s="21"/>
      <c r="CB161" s="21"/>
      <c r="CC161" s="21"/>
      <c r="CD161" s="21"/>
      <c r="CE161" s="21"/>
      <c r="CF161" s="21"/>
      <c r="CG161" s="21"/>
      <c r="CH161" s="21"/>
      <c r="CI161" s="21"/>
      <c r="CJ161" s="21"/>
    </row>
    <row r="162" spans="1:88" s="22" customFormat="1" ht="23.25" customHeight="1" outlineLevel="1" x14ac:dyDescent="0.2">
      <c r="A162" s="29"/>
      <c r="B162" s="81"/>
      <c r="C162" s="82"/>
      <c r="D162" s="89"/>
      <c r="E162" s="91"/>
      <c r="F162" s="92"/>
      <c r="G162" s="93"/>
      <c r="H162" s="45"/>
      <c r="I162" s="41"/>
      <c r="J162" s="214"/>
      <c r="K162" s="37"/>
      <c r="L162" s="38"/>
      <c r="M162" s="38"/>
      <c r="N162" s="37"/>
      <c r="O162" s="39"/>
      <c r="P162" s="53"/>
      <c r="Q162" s="55"/>
      <c r="R162" s="137" t="s">
        <v>600</v>
      </c>
      <c r="S162" s="136" t="s">
        <v>600</v>
      </c>
      <c r="T162" s="136" t="s">
        <v>17</v>
      </c>
      <c r="U162" s="136" t="s">
        <v>17</v>
      </c>
      <c r="V162" s="136"/>
      <c r="W162" s="136"/>
      <c r="X162" s="263"/>
      <c r="Y162" s="1" t="str">
        <f t="shared" si="0"/>
        <v>_</v>
      </c>
      <c r="Z162" s="1" t="str">
        <f t="shared" si="1"/>
        <v>_</v>
      </c>
      <c r="AA162" s="21"/>
      <c r="AB162" s="21"/>
      <c r="AC162" s="21"/>
      <c r="AD162" s="21"/>
      <c r="AE162" s="21"/>
      <c r="AF162" s="21"/>
      <c r="AG162" s="21"/>
      <c r="AH162" s="21"/>
      <c r="AI162" s="21"/>
      <c r="AJ162" s="21"/>
      <c r="AK162" s="21"/>
      <c r="AL162" s="21"/>
      <c r="AM162" s="21"/>
      <c r="AN162" s="21"/>
      <c r="AO162" s="21"/>
      <c r="AP162" s="21"/>
      <c r="AQ162" s="21"/>
      <c r="AR162" s="21"/>
      <c r="AS162" s="21"/>
      <c r="AT162" s="21"/>
      <c r="AU162" s="21"/>
      <c r="AV162" s="21"/>
      <c r="AW162" s="21"/>
      <c r="AX162" s="21"/>
      <c r="AY162" s="21"/>
      <c r="AZ162" s="21"/>
      <c r="BA162" s="21"/>
      <c r="BB162" s="21"/>
      <c r="BC162" s="21"/>
      <c r="BD162" s="21"/>
      <c r="BE162" s="21"/>
      <c r="BF162" s="21"/>
      <c r="BG162" s="21"/>
      <c r="BH162" s="21"/>
      <c r="BI162" s="21"/>
      <c r="BJ162" s="21"/>
      <c r="BK162" s="21"/>
      <c r="BL162" s="21"/>
      <c r="BM162" s="21"/>
      <c r="BN162" s="21"/>
      <c r="BO162" s="21"/>
      <c r="BP162" s="21"/>
      <c r="BQ162" s="21"/>
      <c r="BR162" s="21"/>
      <c r="BS162" s="21"/>
      <c r="BT162" s="21"/>
      <c r="BU162" s="21"/>
      <c r="BV162" s="21"/>
      <c r="BW162" s="21"/>
      <c r="BX162" s="21"/>
      <c r="BY162" s="21"/>
      <c r="BZ162" s="21"/>
      <c r="CA162" s="21"/>
      <c r="CB162" s="21"/>
      <c r="CC162" s="21"/>
      <c r="CD162" s="21"/>
      <c r="CE162" s="21"/>
      <c r="CF162" s="21"/>
      <c r="CG162" s="21"/>
      <c r="CH162" s="21"/>
      <c r="CI162" s="21"/>
      <c r="CJ162" s="21"/>
    </row>
    <row r="163" spans="1:88" s="22" customFormat="1" ht="23.25" customHeight="1" outlineLevel="1" x14ac:dyDescent="0.2">
      <c r="A163" s="29"/>
      <c r="B163" s="81"/>
      <c r="C163" s="82"/>
      <c r="D163" s="89"/>
      <c r="E163" s="91"/>
      <c r="F163" s="92"/>
      <c r="G163" s="93"/>
      <c r="H163" s="45"/>
      <c r="I163" s="41"/>
      <c r="J163" s="214"/>
      <c r="K163" s="37"/>
      <c r="L163" s="38"/>
      <c r="M163" s="38"/>
      <c r="N163" s="37"/>
      <c r="O163" s="39"/>
      <c r="P163" s="53"/>
      <c r="Q163" s="55"/>
      <c r="R163" s="137" t="s">
        <v>600</v>
      </c>
      <c r="S163" s="136" t="s">
        <v>600</v>
      </c>
      <c r="T163" s="136" t="s">
        <v>17</v>
      </c>
      <c r="U163" s="136" t="s">
        <v>17</v>
      </c>
      <c r="V163" s="136"/>
      <c r="W163" s="136"/>
      <c r="X163" s="263"/>
      <c r="Y163" s="1" t="str">
        <f t="shared" si="0"/>
        <v>_</v>
      </c>
      <c r="Z163" s="1" t="str">
        <f t="shared" si="1"/>
        <v>_</v>
      </c>
      <c r="AA163" s="21"/>
      <c r="AB163" s="21"/>
      <c r="AC163" s="21"/>
      <c r="AD163" s="21"/>
      <c r="AE163" s="21"/>
      <c r="AF163" s="21"/>
      <c r="AG163" s="21"/>
      <c r="AH163" s="21"/>
      <c r="AI163" s="21"/>
      <c r="AJ163" s="21"/>
      <c r="AK163" s="21"/>
      <c r="AL163" s="21"/>
      <c r="AM163" s="21"/>
      <c r="AN163" s="21"/>
      <c r="AO163" s="21"/>
      <c r="AP163" s="21"/>
      <c r="AQ163" s="21"/>
      <c r="AR163" s="21"/>
      <c r="AS163" s="21"/>
      <c r="AT163" s="21"/>
      <c r="AU163" s="21"/>
      <c r="AV163" s="21"/>
      <c r="AW163" s="21"/>
      <c r="AX163" s="21"/>
      <c r="AY163" s="21"/>
      <c r="AZ163" s="21"/>
      <c r="BA163" s="21"/>
      <c r="BB163" s="21"/>
      <c r="BC163" s="21"/>
      <c r="BD163" s="21"/>
      <c r="BE163" s="21"/>
      <c r="BF163" s="21"/>
      <c r="BG163" s="21"/>
      <c r="BH163" s="21"/>
      <c r="BI163" s="21"/>
      <c r="BJ163" s="21"/>
      <c r="BK163" s="21"/>
      <c r="BL163" s="21"/>
      <c r="BM163" s="21"/>
      <c r="BN163" s="21"/>
      <c r="BO163" s="21"/>
      <c r="BP163" s="21"/>
      <c r="BQ163" s="21"/>
      <c r="BR163" s="21"/>
      <c r="BS163" s="21"/>
      <c r="BT163" s="21"/>
      <c r="BU163" s="21"/>
      <c r="BV163" s="21"/>
      <c r="BW163" s="21"/>
      <c r="BX163" s="21"/>
      <c r="BY163" s="21"/>
      <c r="BZ163" s="21"/>
      <c r="CA163" s="21"/>
      <c r="CB163" s="21"/>
      <c r="CC163" s="21"/>
      <c r="CD163" s="21"/>
      <c r="CE163" s="21"/>
      <c r="CF163" s="21"/>
      <c r="CG163" s="21"/>
      <c r="CH163" s="21"/>
      <c r="CI163" s="21"/>
      <c r="CJ163" s="21"/>
    </row>
    <row r="164" spans="1:88" s="22" customFormat="1" ht="23.25" customHeight="1" outlineLevel="1" x14ac:dyDescent="0.2">
      <c r="A164" s="29"/>
      <c r="B164" s="81"/>
      <c r="C164" s="82"/>
      <c r="D164" s="89"/>
      <c r="E164" s="91"/>
      <c r="F164" s="92"/>
      <c r="G164" s="93"/>
      <c r="H164" s="45"/>
      <c r="I164" s="41"/>
      <c r="J164" s="214"/>
      <c r="K164" s="37"/>
      <c r="L164" s="38"/>
      <c r="M164" s="38"/>
      <c r="N164" s="37"/>
      <c r="O164" s="39"/>
      <c r="P164" s="53"/>
      <c r="Q164" s="55"/>
      <c r="R164" s="137" t="s">
        <v>600</v>
      </c>
      <c r="S164" s="136" t="s">
        <v>600</v>
      </c>
      <c r="T164" s="136" t="s">
        <v>17</v>
      </c>
      <c r="U164" s="136" t="s">
        <v>17</v>
      </c>
      <c r="V164" s="136"/>
      <c r="W164" s="136"/>
      <c r="X164" s="263"/>
      <c r="Y164" s="1" t="str">
        <f t="shared" si="0"/>
        <v>_</v>
      </c>
      <c r="Z164" s="1" t="str">
        <f t="shared" si="1"/>
        <v>_</v>
      </c>
      <c r="AA164" s="21"/>
      <c r="AB164" s="21"/>
      <c r="AC164" s="21"/>
      <c r="AD164" s="21"/>
      <c r="AE164" s="21"/>
      <c r="AF164" s="21"/>
      <c r="AG164" s="21"/>
      <c r="AH164" s="21"/>
      <c r="AI164" s="21"/>
      <c r="AJ164" s="21"/>
      <c r="AK164" s="21"/>
      <c r="AL164" s="21"/>
      <c r="AM164" s="21"/>
      <c r="AN164" s="21"/>
      <c r="AO164" s="21"/>
      <c r="AP164" s="21"/>
      <c r="AQ164" s="21"/>
      <c r="AR164" s="21"/>
      <c r="AS164" s="21"/>
      <c r="AT164" s="21"/>
      <c r="AU164" s="21"/>
      <c r="AV164" s="21"/>
      <c r="AW164" s="21"/>
      <c r="AX164" s="21"/>
      <c r="AY164" s="21"/>
      <c r="AZ164" s="21"/>
      <c r="BA164" s="21"/>
      <c r="BB164" s="21"/>
      <c r="BC164" s="21"/>
      <c r="BD164" s="21"/>
      <c r="BE164" s="21"/>
      <c r="BF164" s="21"/>
      <c r="BG164" s="21"/>
      <c r="BH164" s="21"/>
      <c r="BI164" s="21"/>
      <c r="BJ164" s="21"/>
      <c r="BK164" s="21"/>
      <c r="BL164" s="21"/>
      <c r="BM164" s="21"/>
      <c r="BN164" s="21"/>
      <c r="BO164" s="21"/>
      <c r="BP164" s="21"/>
      <c r="BQ164" s="21"/>
      <c r="BR164" s="21"/>
      <c r="BS164" s="21"/>
      <c r="BT164" s="21"/>
      <c r="BU164" s="21"/>
      <c r="BV164" s="21"/>
      <c r="BW164" s="21"/>
      <c r="BX164" s="21"/>
      <c r="BY164" s="21"/>
      <c r="BZ164" s="21"/>
      <c r="CA164" s="21"/>
      <c r="CB164" s="21"/>
      <c r="CC164" s="21"/>
      <c r="CD164" s="21"/>
      <c r="CE164" s="21"/>
      <c r="CF164" s="21"/>
      <c r="CG164" s="21"/>
      <c r="CH164" s="21"/>
      <c r="CI164" s="21"/>
      <c r="CJ164" s="21"/>
    </row>
    <row r="165" spans="1:88" s="22" customFormat="1" ht="23.25" customHeight="1" outlineLevel="1" x14ac:dyDescent="0.2">
      <c r="A165" s="29"/>
      <c r="B165" s="81"/>
      <c r="C165" s="82"/>
      <c r="D165" s="89"/>
      <c r="E165" s="91"/>
      <c r="F165" s="92"/>
      <c r="G165" s="93"/>
      <c r="H165" s="45"/>
      <c r="I165" s="41"/>
      <c r="J165" s="214"/>
      <c r="K165" s="37"/>
      <c r="L165" s="38"/>
      <c r="M165" s="38"/>
      <c r="N165" s="37"/>
      <c r="O165" s="39"/>
      <c r="P165" s="53"/>
      <c r="Q165" s="55"/>
      <c r="R165" s="137" t="s">
        <v>600</v>
      </c>
      <c r="S165" s="136" t="s">
        <v>600</v>
      </c>
      <c r="T165" s="136" t="s">
        <v>17</v>
      </c>
      <c r="U165" s="136" t="s">
        <v>17</v>
      </c>
      <c r="V165" s="136"/>
      <c r="W165" s="136"/>
      <c r="X165" s="263"/>
      <c r="Y165" s="1" t="str">
        <f t="shared" si="0"/>
        <v>_</v>
      </c>
      <c r="Z165" s="1" t="str">
        <f t="shared" si="1"/>
        <v>_</v>
      </c>
      <c r="AA165" s="21"/>
      <c r="AB165" s="21"/>
      <c r="AC165" s="21"/>
      <c r="AD165" s="21"/>
      <c r="AE165" s="21"/>
      <c r="AF165" s="21"/>
      <c r="AG165" s="21"/>
      <c r="AH165" s="21"/>
      <c r="AI165" s="21"/>
      <c r="AJ165" s="21"/>
      <c r="AK165" s="21"/>
      <c r="AL165" s="21"/>
      <c r="AM165" s="21"/>
      <c r="AN165" s="21"/>
      <c r="AO165" s="21"/>
      <c r="AP165" s="21"/>
      <c r="AQ165" s="21"/>
      <c r="AR165" s="21"/>
      <c r="AS165" s="21"/>
      <c r="AT165" s="21"/>
      <c r="AU165" s="21"/>
      <c r="AV165" s="21"/>
      <c r="AW165" s="21"/>
      <c r="AX165" s="21"/>
      <c r="AY165" s="21"/>
      <c r="AZ165" s="21"/>
      <c r="BA165" s="21"/>
      <c r="BB165" s="21"/>
      <c r="BC165" s="21"/>
      <c r="BD165" s="21"/>
      <c r="BE165" s="21"/>
      <c r="BF165" s="21"/>
      <c r="BG165" s="21"/>
      <c r="BH165" s="21"/>
      <c r="BI165" s="21"/>
      <c r="BJ165" s="21"/>
      <c r="BK165" s="21"/>
      <c r="BL165" s="21"/>
      <c r="BM165" s="21"/>
      <c r="BN165" s="21"/>
      <c r="BO165" s="21"/>
      <c r="BP165" s="21"/>
      <c r="BQ165" s="21"/>
      <c r="BR165" s="21"/>
      <c r="BS165" s="21"/>
      <c r="BT165" s="21"/>
      <c r="BU165" s="21"/>
      <c r="BV165" s="21"/>
      <c r="BW165" s="21"/>
      <c r="BX165" s="21"/>
      <c r="BY165" s="21"/>
      <c r="BZ165" s="21"/>
      <c r="CA165" s="21"/>
      <c r="CB165" s="21"/>
      <c r="CC165" s="21"/>
      <c r="CD165" s="21"/>
      <c r="CE165" s="21"/>
      <c r="CF165" s="21"/>
      <c r="CG165" s="21"/>
      <c r="CH165" s="21"/>
      <c r="CI165" s="21"/>
      <c r="CJ165" s="21"/>
    </row>
    <row r="166" spans="1:88" s="22" customFormat="1" ht="23.25" customHeight="1" outlineLevel="1" x14ac:dyDescent="0.2">
      <c r="A166" s="29"/>
      <c r="B166" s="81"/>
      <c r="C166" s="82"/>
      <c r="D166" s="89"/>
      <c r="E166" s="91"/>
      <c r="F166" s="92"/>
      <c r="G166" s="93"/>
      <c r="H166" s="45"/>
      <c r="I166" s="41"/>
      <c r="J166" s="214"/>
      <c r="K166" s="37"/>
      <c r="L166" s="38"/>
      <c r="M166" s="38"/>
      <c r="N166" s="37"/>
      <c r="O166" s="39"/>
      <c r="P166" s="53"/>
      <c r="Q166" s="55"/>
      <c r="R166" s="137" t="s">
        <v>600</v>
      </c>
      <c r="S166" s="136" t="s">
        <v>600</v>
      </c>
      <c r="T166" s="136" t="s">
        <v>17</v>
      </c>
      <c r="U166" s="136" t="s">
        <v>17</v>
      </c>
      <c r="V166" s="136"/>
      <c r="W166" s="136"/>
      <c r="X166" s="263"/>
      <c r="Y166" s="1" t="str">
        <f t="shared" si="0"/>
        <v>_</v>
      </c>
      <c r="Z166" s="1" t="str">
        <f t="shared" si="1"/>
        <v>_</v>
      </c>
      <c r="AA166" s="21"/>
      <c r="AB166" s="21"/>
      <c r="AC166" s="21"/>
      <c r="AD166" s="21"/>
      <c r="AE166" s="21"/>
      <c r="AF166" s="21"/>
      <c r="AG166" s="21"/>
      <c r="AH166" s="21"/>
      <c r="AI166" s="21"/>
      <c r="AJ166" s="21"/>
      <c r="AK166" s="21"/>
      <c r="AL166" s="21"/>
      <c r="AM166" s="21"/>
      <c r="AN166" s="21"/>
      <c r="AO166" s="21"/>
      <c r="AP166" s="21"/>
      <c r="AQ166" s="21"/>
      <c r="AR166" s="21"/>
      <c r="AS166" s="21"/>
      <c r="AT166" s="21"/>
      <c r="AU166" s="21"/>
      <c r="AV166" s="21"/>
      <c r="AW166" s="21"/>
      <c r="AX166" s="21"/>
      <c r="AY166" s="21"/>
      <c r="AZ166" s="21"/>
      <c r="BA166" s="21"/>
      <c r="BB166" s="21"/>
      <c r="BC166" s="21"/>
      <c r="BD166" s="21"/>
      <c r="BE166" s="21"/>
      <c r="BF166" s="21"/>
      <c r="BG166" s="21"/>
      <c r="BH166" s="21"/>
      <c r="BI166" s="21"/>
      <c r="BJ166" s="21"/>
      <c r="BK166" s="21"/>
      <c r="BL166" s="21"/>
      <c r="BM166" s="21"/>
      <c r="BN166" s="21"/>
      <c r="BO166" s="21"/>
      <c r="BP166" s="21"/>
      <c r="BQ166" s="21"/>
      <c r="BR166" s="21"/>
      <c r="BS166" s="21"/>
      <c r="BT166" s="21"/>
      <c r="BU166" s="21"/>
      <c r="BV166" s="21"/>
      <c r="BW166" s="21"/>
      <c r="BX166" s="21"/>
      <c r="BY166" s="21"/>
      <c r="BZ166" s="21"/>
      <c r="CA166" s="21"/>
      <c r="CB166" s="21"/>
      <c r="CC166" s="21"/>
      <c r="CD166" s="21"/>
      <c r="CE166" s="21"/>
      <c r="CF166" s="21"/>
      <c r="CG166" s="21"/>
      <c r="CH166" s="21"/>
      <c r="CI166" s="21"/>
      <c r="CJ166" s="21"/>
    </row>
    <row r="167" spans="1:88" s="22" customFormat="1" ht="23.25" customHeight="1" outlineLevel="1" x14ac:dyDescent="0.2">
      <c r="A167" s="29"/>
      <c r="B167" s="81"/>
      <c r="C167" s="82"/>
      <c r="D167" s="89"/>
      <c r="E167" s="91"/>
      <c r="F167" s="92"/>
      <c r="G167" s="93"/>
      <c r="H167" s="45"/>
      <c r="I167" s="41"/>
      <c r="J167" s="214"/>
      <c r="K167" s="37"/>
      <c r="L167" s="38"/>
      <c r="M167" s="38"/>
      <c r="N167" s="37"/>
      <c r="O167" s="39"/>
      <c r="P167" s="53"/>
      <c r="Q167" s="55"/>
      <c r="R167" s="137" t="s">
        <v>600</v>
      </c>
      <c r="S167" s="136" t="s">
        <v>600</v>
      </c>
      <c r="T167" s="136" t="s">
        <v>17</v>
      </c>
      <c r="U167" s="136" t="s">
        <v>17</v>
      </c>
      <c r="V167" s="136"/>
      <c r="W167" s="136"/>
      <c r="X167" s="263"/>
      <c r="Y167" s="1" t="str">
        <f t="shared" si="0"/>
        <v>_</v>
      </c>
      <c r="Z167" s="1" t="str">
        <f t="shared" si="1"/>
        <v>_</v>
      </c>
      <c r="AA167" s="21"/>
      <c r="AB167" s="21"/>
      <c r="AC167" s="21"/>
      <c r="AD167" s="21"/>
      <c r="AE167" s="21"/>
      <c r="AF167" s="21"/>
      <c r="AG167" s="21"/>
      <c r="AH167" s="21"/>
      <c r="AI167" s="21"/>
      <c r="AJ167" s="21"/>
      <c r="AK167" s="21"/>
      <c r="AL167" s="21"/>
      <c r="AM167" s="21"/>
      <c r="AN167" s="21"/>
      <c r="AO167" s="21"/>
      <c r="AP167" s="21"/>
      <c r="AQ167" s="21"/>
      <c r="AR167" s="21"/>
      <c r="AS167" s="21"/>
      <c r="AT167" s="21"/>
      <c r="AU167" s="21"/>
      <c r="AV167" s="21"/>
      <c r="AW167" s="21"/>
      <c r="AX167" s="21"/>
      <c r="AY167" s="21"/>
      <c r="AZ167" s="21"/>
      <c r="BA167" s="21"/>
      <c r="BB167" s="21"/>
      <c r="BC167" s="21"/>
      <c r="BD167" s="21"/>
      <c r="BE167" s="21"/>
      <c r="BF167" s="21"/>
      <c r="BG167" s="21"/>
      <c r="BH167" s="21"/>
      <c r="BI167" s="21"/>
      <c r="BJ167" s="21"/>
      <c r="BK167" s="21"/>
      <c r="BL167" s="21"/>
      <c r="BM167" s="21"/>
      <c r="BN167" s="21"/>
      <c r="BO167" s="21"/>
      <c r="BP167" s="21"/>
      <c r="BQ167" s="21"/>
      <c r="BR167" s="21"/>
      <c r="BS167" s="21"/>
      <c r="BT167" s="21"/>
      <c r="BU167" s="21"/>
      <c r="BV167" s="21"/>
      <c r="BW167" s="21"/>
      <c r="BX167" s="21"/>
      <c r="BY167" s="21"/>
      <c r="BZ167" s="21"/>
      <c r="CA167" s="21"/>
      <c r="CB167" s="21"/>
      <c r="CC167" s="21"/>
      <c r="CD167" s="21"/>
      <c r="CE167" s="21"/>
      <c r="CF167" s="21"/>
      <c r="CG167" s="21"/>
      <c r="CH167" s="21"/>
      <c r="CI167" s="21"/>
      <c r="CJ167" s="21"/>
    </row>
    <row r="168" spans="1:88" s="22" customFormat="1" ht="23.25" customHeight="1" outlineLevel="1" x14ac:dyDescent="0.2">
      <c r="A168" s="29"/>
      <c r="B168" s="81"/>
      <c r="C168" s="82"/>
      <c r="D168" s="89"/>
      <c r="E168" s="91"/>
      <c r="F168" s="92"/>
      <c r="G168" s="93"/>
      <c r="H168" s="45"/>
      <c r="I168" s="41"/>
      <c r="J168" s="214"/>
      <c r="K168" s="37"/>
      <c r="L168" s="38"/>
      <c r="M168" s="38"/>
      <c r="N168" s="37"/>
      <c r="O168" s="39"/>
      <c r="P168" s="53"/>
      <c r="Q168" s="55"/>
      <c r="R168" s="137" t="s">
        <v>600</v>
      </c>
      <c r="S168" s="136" t="s">
        <v>600</v>
      </c>
      <c r="T168" s="136" t="s">
        <v>17</v>
      </c>
      <c r="U168" s="136" t="s">
        <v>17</v>
      </c>
      <c r="V168" s="136"/>
      <c r="W168" s="136"/>
      <c r="X168" s="263"/>
      <c r="Y168" s="1" t="str">
        <f t="shared" si="0"/>
        <v>_</v>
      </c>
      <c r="Z168" s="1" t="str">
        <f t="shared" si="1"/>
        <v>_</v>
      </c>
      <c r="AA168" s="21"/>
      <c r="AB168" s="21"/>
      <c r="AC168" s="21"/>
      <c r="AD168" s="21"/>
      <c r="AE168" s="21"/>
      <c r="AF168" s="21"/>
      <c r="AG168" s="21"/>
      <c r="AH168" s="21"/>
      <c r="AI168" s="21"/>
      <c r="AJ168" s="21"/>
      <c r="AK168" s="21"/>
      <c r="AL168" s="21"/>
      <c r="AM168" s="21"/>
      <c r="AN168" s="21"/>
      <c r="AO168" s="21"/>
      <c r="AP168" s="21"/>
      <c r="AQ168" s="21"/>
      <c r="AR168" s="21"/>
      <c r="AS168" s="21"/>
      <c r="AT168" s="21"/>
      <c r="AU168" s="21"/>
      <c r="AV168" s="21"/>
      <c r="AW168" s="21"/>
      <c r="AX168" s="21"/>
      <c r="AY168" s="21"/>
      <c r="AZ168" s="21"/>
      <c r="BA168" s="21"/>
      <c r="BB168" s="21"/>
      <c r="BC168" s="21"/>
      <c r="BD168" s="21"/>
      <c r="BE168" s="21"/>
      <c r="BF168" s="21"/>
      <c r="BG168" s="21"/>
      <c r="BH168" s="21"/>
      <c r="BI168" s="21"/>
      <c r="BJ168" s="21"/>
      <c r="BK168" s="21"/>
      <c r="BL168" s="21"/>
      <c r="BM168" s="21"/>
      <c r="BN168" s="21"/>
      <c r="BO168" s="21"/>
      <c r="BP168" s="21"/>
      <c r="BQ168" s="21"/>
      <c r="BR168" s="21"/>
      <c r="BS168" s="21"/>
      <c r="BT168" s="21"/>
      <c r="BU168" s="21"/>
      <c r="BV168" s="21"/>
      <c r="BW168" s="21"/>
      <c r="BX168" s="21"/>
      <c r="BY168" s="21"/>
      <c r="BZ168" s="21"/>
      <c r="CA168" s="21"/>
      <c r="CB168" s="21"/>
      <c r="CC168" s="21"/>
      <c r="CD168" s="21"/>
      <c r="CE168" s="21"/>
      <c r="CF168" s="21"/>
      <c r="CG168" s="21"/>
      <c r="CH168" s="21"/>
      <c r="CI168" s="21"/>
      <c r="CJ168" s="21"/>
    </row>
    <row r="169" spans="1:88" s="22" customFormat="1" ht="23.25" customHeight="1" outlineLevel="1" x14ac:dyDescent="0.2">
      <c r="A169" s="29"/>
      <c r="B169" s="81"/>
      <c r="C169" s="82"/>
      <c r="D169" s="89"/>
      <c r="E169" s="91"/>
      <c r="F169" s="92"/>
      <c r="G169" s="93"/>
      <c r="H169" s="45"/>
      <c r="I169" s="41"/>
      <c r="J169" s="214"/>
      <c r="K169" s="37"/>
      <c r="L169" s="38"/>
      <c r="M169" s="38"/>
      <c r="N169" s="37"/>
      <c r="O169" s="39"/>
      <c r="P169" s="53"/>
      <c r="Q169" s="55"/>
      <c r="R169" s="137" t="s">
        <v>600</v>
      </c>
      <c r="S169" s="136" t="s">
        <v>600</v>
      </c>
      <c r="T169" s="136" t="s">
        <v>17</v>
      </c>
      <c r="U169" s="136" t="s">
        <v>17</v>
      </c>
      <c r="V169" s="136"/>
      <c r="W169" s="136"/>
      <c r="X169" s="263"/>
      <c r="Y169" s="1" t="str">
        <f t="shared" si="0"/>
        <v>_</v>
      </c>
      <c r="Z169" s="1" t="str">
        <f t="shared" si="1"/>
        <v>_</v>
      </c>
      <c r="AA169" s="21"/>
      <c r="AB169" s="21"/>
      <c r="AC169" s="21"/>
      <c r="AD169" s="21"/>
      <c r="AE169" s="21"/>
      <c r="AF169" s="21"/>
      <c r="AG169" s="21"/>
      <c r="AH169" s="21"/>
      <c r="AI169" s="21"/>
      <c r="AJ169" s="21"/>
      <c r="AK169" s="21"/>
      <c r="AL169" s="21"/>
      <c r="AM169" s="21"/>
      <c r="AN169" s="21"/>
      <c r="AO169" s="21"/>
      <c r="AP169" s="21"/>
      <c r="AQ169" s="21"/>
      <c r="AR169" s="21"/>
      <c r="AS169" s="21"/>
      <c r="AT169" s="21"/>
      <c r="AU169" s="21"/>
      <c r="AV169" s="21"/>
      <c r="AW169" s="21"/>
      <c r="AX169" s="21"/>
      <c r="AY169" s="21"/>
      <c r="AZ169" s="21"/>
      <c r="BA169" s="21"/>
      <c r="BB169" s="21"/>
      <c r="BC169" s="21"/>
      <c r="BD169" s="21"/>
      <c r="BE169" s="21"/>
      <c r="BF169" s="21"/>
      <c r="BG169" s="21"/>
      <c r="BH169" s="21"/>
      <c r="BI169" s="21"/>
      <c r="BJ169" s="21"/>
      <c r="BK169" s="21"/>
      <c r="BL169" s="21"/>
      <c r="BM169" s="21"/>
      <c r="BN169" s="21"/>
      <c r="BO169" s="21"/>
      <c r="BP169" s="21"/>
      <c r="BQ169" s="21"/>
      <c r="BR169" s="21"/>
      <c r="BS169" s="21"/>
      <c r="BT169" s="21"/>
      <c r="BU169" s="21"/>
      <c r="BV169" s="21"/>
      <c r="BW169" s="21"/>
      <c r="BX169" s="21"/>
      <c r="BY169" s="21"/>
      <c r="BZ169" s="21"/>
      <c r="CA169" s="21"/>
      <c r="CB169" s="21"/>
      <c r="CC169" s="21"/>
      <c r="CD169" s="21"/>
      <c r="CE169" s="21"/>
      <c r="CF169" s="21"/>
      <c r="CG169" s="21"/>
      <c r="CH169" s="21"/>
      <c r="CI169" s="21"/>
      <c r="CJ169" s="21"/>
    </row>
    <row r="170" spans="1:88" s="22" customFormat="1" ht="23.25" customHeight="1" outlineLevel="1" x14ac:dyDescent="0.2">
      <c r="A170" s="29"/>
      <c r="B170" s="81"/>
      <c r="C170" s="82"/>
      <c r="D170" s="89"/>
      <c r="E170" s="91"/>
      <c r="F170" s="92"/>
      <c r="G170" s="93"/>
      <c r="H170" s="45"/>
      <c r="I170" s="41"/>
      <c r="J170" s="214"/>
      <c r="K170" s="37"/>
      <c r="L170" s="38"/>
      <c r="M170" s="38"/>
      <c r="N170" s="37"/>
      <c r="O170" s="39"/>
      <c r="P170" s="53"/>
      <c r="Q170" s="55"/>
      <c r="R170" s="137" t="s">
        <v>600</v>
      </c>
      <c r="S170" s="136" t="s">
        <v>600</v>
      </c>
      <c r="T170" s="136" t="s">
        <v>17</v>
      </c>
      <c r="U170" s="136" t="s">
        <v>17</v>
      </c>
      <c r="V170" s="136"/>
      <c r="W170" s="136"/>
      <c r="X170" s="263"/>
      <c r="Y170" s="1" t="str">
        <f t="shared" si="0"/>
        <v>_</v>
      </c>
      <c r="Z170" s="1" t="str">
        <f t="shared" si="1"/>
        <v>_</v>
      </c>
      <c r="AA170" s="21"/>
      <c r="AB170" s="21"/>
      <c r="AC170" s="21"/>
      <c r="AD170" s="21"/>
      <c r="AE170" s="21"/>
      <c r="AF170" s="21"/>
      <c r="AG170" s="21"/>
      <c r="AH170" s="21"/>
      <c r="AI170" s="21"/>
      <c r="AJ170" s="21"/>
      <c r="AK170" s="21"/>
      <c r="AL170" s="21"/>
      <c r="AM170" s="21"/>
      <c r="AN170" s="21"/>
      <c r="AO170" s="21"/>
      <c r="AP170" s="21"/>
      <c r="AQ170" s="21"/>
      <c r="AR170" s="21"/>
      <c r="AS170" s="21"/>
      <c r="AT170" s="21"/>
      <c r="AU170" s="21"/>
      <c r="AV170" s="21"/>
      <c r="AW170" s="21"/>
      <c r="AX170" s="21"/>
      <c r="AY170" s="21"/>
      <c r="AZ170" s="21"/>
      <c r="BA170" s="21"/>
      <c r="BB170" s="21"/>
      <c r="BC170" s="21"/>
      <c r="BD170" s="21"/>
      <c r="BE170" s="21"/>
      <c r="BF170" s="21"/>
      <c r="BG170" s="21"/>
      <c r="BH170" s="21"/>
      <c r="BI170" s="21"/>
      <c r="BJ170" s="21"/>
      <c r="BK170" s="21"/>
      <c r="BL170" s="21"/>
      <c r="BM170" s="21"/>
      <c r="BN170" s="21"/>
      <c r="BO170" s="21"/>
      <c r="BP170" s="21"/>
      <c r="BQ170" s="21"/>
      <c r="BR170" s="21"/>
      <c r="BS170" s="21"/>
      <c r="BT170" s="21"/>
      <c r="BU170" s="21"/>
      <c r="BV170" s="21"/>
      <c r="BW170" s="21"/>
      <c r="BX170" s="21"/>
      <c r="BY170" s="21"/>
      <c r="BZ170" s="21"/>
      <c r="CA170" s="21"/>
      <c r="CB170" s="21"/>
      <c r="CC170" s="21"/>
      <c r="CD170" s="21"/>
      <c r="CE170" s="21"/>
      <c r="CF170" s="21"/>
      <c r="CG170" s="21"/>
      <c r="CH170" s="21"/>
      <c r="CI170" s="21"/>
      <c r="CJ170" s="21"/>
    </row>
    <row r="171" spans="1:88" s="22" customFormat="1" ht="23.25" customHeight="1" outlineLevel="1" x14ac:dyDescent="0.2">
      <c r="A171" s="29"/>
      <c r="B171" s="81"/>
      <c r="C171" s="82"/>
      <c r="D171" s="89"/>
      <c r="E171" s="91"/>
      <c r="F171" s="92"/>
      <c r="G171" s="93"/>
      <c r="H171" s="45"/>
      <c r="I171" s="41"/>
      <c r="J171" s="214"/>
      <c r="K171" s="37"/>
      <c r="L171" s="38"/>
      <c r="M171" s="38"/>
      <c r="N171" s="37"/>
      <c r="O171" s="39"/>
      <c r="P171" s="53"/>
      <c r="Q171" s="55"/>
      <c r="R171" s="137" t="s">
        <v>600</v>
      </c>
      <c r="S171" s="136" t="s">
        <v>600</v>
      </c>
      <c r="T171" s="136" t="s">
        <v>17</v>
      </c>
      <c r="U171" s="136" t="s">
        <v>17</v>
      </c>
      <c r="V171" s="136"/>
      <c r="W171" s="136"/>
      <c r="X171" s="263"/>
      <c r="Y171" s="1" t="str">
        <f t="shared" si="0"/>
        <v>_</v>
      </c>
      <c r="Z171" s="1" t="str">
        <f t="shared" si="1"/>
        <v>_</v>
      </c>
      <c r="AA171" s="21"/>
      <c r="AB171" s="21"/>
      <c r="AC171" s="21"/>
      <c r="AD171" s="21"/>
      <c r="AE171" s="21"/>
      <c r="AF171" s="21"/>
      <c r="AG171" s="21"/>
      <c r="AH171" s="21"/>
      <c r="AI171" s="21"/>
      <c r="AJ171" s="21"/>
      <c r="AK171" s="21"/>
      <c r="AL171" s="21"/>
      <c r="AM171" s="21"/>
      <c r="AN171" s="21"/>
      <c r="AO171" s="21"/>
      <c r="AP171" s="21"/>
      <c r="AQ171" s="21"/>
      <c r="AR171" s="21"/>
      <c r="AS171" s="21"/>
      <c r="AT171" s="21"/>
      <c r="AU171" s="21"/>
      <c r="AV171" s="21"/>
      <c r="AW171" s="21"/>
      <c r="AX171" s="21"/>
      <c r="AY171" s="21"/>
      <c r="AZ171" s="21"/>
      <c r="BA171" s="21"/>
      <c r="BB171" s="21"/>
      <c r="BC171" s="21"/>
      <c r="BD171" s="21"/>
      <c r="BE171" s="21"/>
      <c r="BF171" s="21"/>
      <c r="BG171" s="21"/>
      <c r="BH171" s="21"/>
      <c r="BI171" s="21"/>
      <c r="BJ171" s="21"/>
      <c r="BK171" s="21"/>
      <c r="BL171" s="21"/>
      <c r="BM171" s="21"/>
      <c r="BN171" s="21"/>
      <c r="BO171" s="21"/>
      <c r="BP171" s="21"/>
      <c r="BQ171" s="21"/>
      <c r="BR171" s="21"/>
      <c r="BS171" s="21"/>
      <c r="BT171" s="21"/>
      <c r="BU171" s="21"/>
      <c r="BV171" s="21"/>
      <c r="BW171" s="21"/>
      <c r="BX171" s="21"/>
      <c r="BY171" s="21"/>
      <c r="BZ171" s="21"/>
      <c r="CA171" s="21"/>
      <c r="CB171" s="21"/>
      <c r="CC171" s="21"/>
      <c r="CD171" s="21"/>
      <c r="CE171" s="21"/>
      <c r="CF171" s="21"/>
      <c r="CG171" s="21"/>
      <c r="CH171" s="21"/>
      <c r="CI171" s="21"/>
      <c r="CJ171" s="21"/>
    </row>
    <row r="172" spans="1:88" s="22" customFormat="1" ht="23.25" customHeight="1" outlineLevel="1" x14ac:dyDescent="0.2">
      <c r="A172" s="29"/>
      <c r="B172" s="81"/>
      <c r="C172" s="82"/>
      <c r="D172" s="89"/>
      <c r="E172" s="91"/>
      <c r="F172" s="92"/>
      <c r="G172" s="93"/>
      <c r="H172" s="45"/>
      <c r="I172" s="41"/>
      <c r="J172" s="214"/>
      <c r="K172" s="37"/>
      <c r="L172" s="38"/>
      <c r="M172" s="38"/>
      <c r="N172" s="37"/>
      <c r="O172" s="39"/>
      <c r="P172" s="53"/>
      <c r="Q172" s="55"/>
      <c r="R172" s="137" t="s">
        <v>600</v>
      </c>
      <c r="S172" s="136" t="s">
        <v>600</v>
      </c>
      <c r="T172" s="136" t="s">
        <v>17</v>
      </c>
      <c r="U172" s="136" t="s">
        <v>17</v>
      </c>
      <c r="V172" s="136"/>
      <c r="W172" s="136"/>
      <c r="X172" s="263"/>
      <c r="Y172" s="1" t="str">
        <f t="shared" si="0"/>
        <v>_</v>
      </c>
      <c r="Z172" s="1" t="str">
        <f t="shared" si="1"/>
        <v>_</v>
      </c>
      <c r="AA172" s="21"/>
      <c r="AB172" s="21"/>
      <c r="AC172" s="21"/>
      <c r="AD172" s="21"/>
      <c r="AE172" s="21"/>
      <c r="AF172" s="21"/>
      <c r="AG172" s="21"/>
      <c r="AH172" s="21"/>
      <c r="AI172" s="21"/>
      <c r="AJ172" s="21"/>
      <c r="AK172" s="21"/>
      <c r="AL172" s="21"/>
      <c r="AM172" s="21"/>
      <c r="AN172" s="21"/>
      <c r="AO172" s="21"/>
      <c r="AP172" s="21"/>
      <c r="AQ172" s="21"/>
      <c r="AR172" s="21"/>
      <c r="AS172" s="21"/>
      <c r="AT172" s="21"/>
      <c r="AU172" s="21"/>
      <c r="AV172" s="21"/>
      <c r="AW172" s="21"/>
      <c r="AX172" s="21"/>
      <c r="AY172" s="21"/>
      <c r="AZ172" s="21"/>
      <c r="BA172" s="21"/>
      <c r="BB172" s="21"/>
      <c r="BC172" s="21"/>
      <c r="BD172" s="21"/>
      <c r="BE172" s="21"/>
      <c r="BF172" s="21"/>
      <c r="BG172" s="21"/>
      <c r="BH172" s="21"/>
      <c r="BI172" s="21"/>
      <c r="BJ172" s="21"/>
      <c r="BK172" s="21"/>
      <c r="BL172" s="21"/>
      <c r="BM172" s="21"/>
      <c r="BN172" s="21"/>
      <c r="BO172" s="21"/>
      <c r="BP172" s="21"/>
      <c r="BQ172" s="21"/>
      <c r="BR172" s="21"/>
      <c r="BS172" s="21"/>
      <c r="BT172" s="21"/>
      <c r="BU172" s="21"/>
      <c r="BV172" s="21"/>
      <c r="BW172" s="21"/>
      <c r="BX172" s="21"/>
      <c r="BY172" s="21"/>
      <c r="BZ172" s="21"/>
      <c r="CA172" s="21"/>
      <c r="CB172" s="21"/>
      <c r="CC172" s="21"/>
      <c r="CD172" s="21"/>
      <c r="CE172" s="21"/>
      <c r="CF172" s="21"/>
      <c r="CG172" s="21"/>
      <c r="CH172" s="21"/>
      <c r="CI172" s="21"/>
      <c r="CJ172" s="21"/>
    </row>
    <row r="173" spans="1:88" s="22" customFormat="1" ht="23.25" customHeight="1" outlineLevel="1" x14ac:dyDescent="0.2">
      <c r="A173" s="29"/>
      <c r="B173" s="81"/>
      <c r="C173" s="82"/>
      <c r="D173" s="89"/>
      <c r="E173" s="91"/>
      <c r="F173" s="92"/>
      <c r="G173" s="93"/>
      <c r="H173" s="45"/>
      <c r="I173" s="41"/>
      <c r="J173" s="214"/>
      <c r="K173" s="37"/>
      <c r="L173" s="38"/>
      <c r="M173" s="38"/>
      <c r="N173" s="37"/>
      <c r="O173" s="39"/>
      <c r="P173" s="53"/>
      <c r="Q173" s="55"/>
      <c r="R173" s="137" t="s">
        <v>600</v>
      </c>
      <c r="S173" s="136" t="s">
        <v>600</v>
      </c>
      <c r="T173" s="136" t="s">
        <v>17</v>
      </c>
      <c r="U173" s="136" t="s">
        <v>17</v>
      </c>
      <c r="V173" s="136"/>
      <c r="W173" s="136"/>
      <c r="X173" s="263"/>
      <c r="Y173" s="1" t="str">
        <f t="shared" si="0"/>
        <v>_</v>
      </c>
      <c r="Z173" s="1" t="str">
        <f t="shared" si="1"/>
        <v>_</v>
      </c>
      <c r="AA173" s="21"/>
      <c r="AB173" s="21"/>
      <c r="AC173" s="21"/>
      <c r="AD173" s="21"/>
      <c r="AE173" s="21"/>
      <c r="AF173" s="21"/>
      <c r="AG173" s="21"/>
      <c r="AH173" s="21"/>
      <c r="AI173" s="21"/>
      <c r="AJ173" s="21"/>
      <c r="AK173" s="21"/>
      <c r="AL173" s="21"/>
      <c r="AM173" s="21"/>
      <c r="AN173" s="21"/>
      <c r="AO173" s="21"/>
      <c r="AP173" s="21"/>
      <c r="AQ173" s="21"/>
      <c r="AR173" s="21"/>
      <c r="AS173" s="21"/>
      <c r="AT173" s="21"/>
      <c r="AU173" s="21"/>
      <c r="AV173" s="21"/>
      <c r="AW173" s="21"/>
      <c r="AX173" s="21"/>
      <c r="AY173" s="21"/>
      <c r="AZ173" s="21"/>
      <c r="BA173" s="21"/>
      <c r="BB173" s="21"/>
      <c r="BC173" s="21"/>
      <c r="BD173" s="21"/>
      <c r="BE173" s="21"/>
      <c r="BF173" s="21"/>
      <c r="BG173" s="21"/>
      <c r="BH173" s="21"/>
      <c r="BI173" s="21"/>
      <c r="BJ173" s="21"/>
      <c r="BK173" s="21"/>
      <c r="BL173" s="21"/>
      <c r="BM173" s="21"/>
      <c r="BN173" s="21"/>
      <c r="BO173" s="21"/>
      <c r="BP173" s="21"/>
      <c r="BQ173" s="21"/>
      <c r="BR173" s="21"/>
      <c r="BS173" s="21"/>
      <c r="BT173" s="21"/>
      <c r="BU173" s="21"/>
      <c r="BV173" s="21"/>
      <c r="BW173" s="21"/>
      <c r="BX173" s="21"/>
      <c r="BY173" s="21"/>
      <c r="BZ173" s="21"/>
      <c r="CA173" s="21"/>
      <c r="CB173" s="21"/>
      <c r="CC173" s="21"/>
      <c r="CD173" s="21"/>
      <c r="CE173" s="21"/>
      <c r="CF173" s="21"/>
      <c r="CG173" s="21"/>
      <c r="CH173" s="21"/>
      <c r="CI173" s="21"/>
      <c r="CJ173" s="21"/>
    </row>
    <row r="174" spans="1:88" s="22" customFormat="1" ht="23.25" customHeight="1" outlineLevel="1" x14ac:dyDescent="0.2">
      <c r="A174" s="29"/>
      <c r="B174" s="81"/>
      <c r="C174" s="82"/>
      <c r="D174" s="89"/>
      <c r="E174" s="91"/>
      <c r="F174" s="92"/>
      <c r="G174" s="93"/>
      <c r="H174" s="45"/>
      <c r="I174" s="41"/>
      <c r="J174" s="214"/>
      <c r="K174" s="37"/>
      <c r="L174" s="38"/>
      <c r="M174" s="38"/>
      <c r="N174" s="37"/>
      <c r="O174" s="39"/>
      <c r="P174" s="53"/>
      <c r="Q174" s="55"/>
      <c r="R174" s="137" t="s">
        <v>600</v>
      </c>
      <c r="S174" s="136" t="s">
        <v>600</v>
      </c>
      <c r="T174" s="136" t="s">
        <v>17</v>
      </c>
      <c r="U174" s="136" t="s">
        <v>17</v>
      </c>
      <c r="V174" s="136"/>
      <c r="W174" s="136"/>
      <c r="X174" s="263"/>
      <c r="Y174" s="1" t="str">
        <f t="shared" si="0"/>
        <v>_</v>
      </c>
      <c r="Z174" s="1" t="str">
        <f t="shared" si="1"/>
        <v>_</v>
      </c>
      <c r="AA174" s="21"/>
      <c r="AB174" s="21"/>
      <c r="AC174" s="21"/>
      <c r="AD174" s="21"/>
      <c r="AE174" s="21"/>
      <c r="AF174" s="21"/>
      <c r="AG174" s="21"/>
      <c r="AH174" s="21"/>
      <c r="AI174" s="21"/>
      <c r="AJ174" s="21"/>
      <c r="AK174" s="21"/>
      <c r="AL174" s="21"/>
      <c r="AM174" s="21"/>
      <c r="AN174" s="21"/>
      <c r="AO174" s="21"/>
      <c r="AP174" s="21"/>
      <c r="AQ174" s="21"/>
      <c r="AR174" s="21"/>
      <c r="AS174" s="21"/>
      <c r="AT174" s="21"/>
      <c r="AU174" s="21"/>
      <c r="AV174" s="21"/>
      <c r="AW174" s="21"/>
      <c r="AX174" s="21"/>
      <c r="AY174" s="21"/>
      <c r="AZ174" s="21"/>
      <c r="BA174" s="21"/>
      <c r="BB174" s="21"/>
      <c r="BC174" s="21"/>
      <c r="BD174" s="21"/>
      <c r="BE174" s="21"/>
      <c r="BF174" s="21"/>
      <c r="BG174" s="21"/>
      <c r="BH174" s="21"/>
      <c r="BI174" s="21"/>
      <c r="BJ174" s="21"/>
      <c r="BK174" s="21"/>
      <c r="BL174" s="21"/>
      <c r="BM174" s="21"/>
      <c r="BN174" s="21"/>
      <c r="BO174" s="21"/>
      <c r="BP174" s="21"/>
      <c r="BQ174" s="21"/>
      <c r="BR174" s="21"/>
      <c r="BS174" s="21"/>
      <c r="BT174" s="21"/>
      <c r="BU174" s="21"/>
      <c r="BV174" s="21"/>
      <c r="BW174" s="21"/>
      <c r="BX174" s="21"/>
      <c r="BY174" s="21"/>
      <c r="BZ174" s="21"/>
      <c r="CA174" s="21"/>
      <c r="CB174" s="21"/>
      <c r="CC174" s="21"/>
      <c r="CD174" s="21"/>
      <c r="CE174" s="21"/>
      <c r="CF174" s="21"/>
      <c r="CG174" s="21"/>
      <c r="CH174" s="21"/>
      <c r="CI174" s="21"/>
      <c r="CJ174" s="21"/>
    </row>
    <row r="175" spans="1:88" s="22" customFormat="1" ht="23.25" customHeight="1" outlineLevel="1" x14ac:dyDescent="0.2">
      <c r="A175" s="29"/>
      <c r="B175" s="81"/>
      <c r="C175" s="82"/>
      <c r="D175" s="89"/>
      <c r="E175" s="91"/>
      <c r="F175" s="92"/>
      <c r="G175" s="93"/>
      <c r="H175" s="45"/>
      <c r="I175" s="41"/>
      <c r="J175" s="214"/>
      <c r="K175" s="37"/>
      <c r="L175" s="38"/>
      <c r="M175" s="38"/>
      <c r="N175" s="37"/>
      <c r="O175" s="39"/>
      <c r="P175" s="53"/>
      <c r="Q175" s="55"/>
      <c r="R175" s="137" t="s">
        <v>600</v>
      </c>
      <c r="S175" s="136" t="s">
        <v>600</v>
      </c>
      <c r="T175" s="136" t="s">
        <v>17</v>
      </c>
      <c r="U175" s="136" t="s">
        <v>17</v>
      </c>
      <c r="V175" s="136"/>
      <c r="W175" s="136"/>
      <c r="X175" s="263"/>
      <c r="Y175" s="1" t="str">
        <f t="shared" si="0"/>
        <v>_</v>
      </c>
      <c r="Z175" s="1" t="str">
        <f t="shared" si="1"/>
        <v>_</v>
      </c>
      <c r="AA175" s="21"/>
      <c r="AB175" s="21"/>
      <c r="AC175" s="21"/>
      <c r="AD175" s="21"/>
      <c r="AE175" s="21"/>
      <c r="AF175" s="21"/>
      <c r="AG175" s="21"/>
      <c r="AH175" s="21"/>
      <c r="AI175" s="21"/>
      <c r="AJ175" s="21"/>
      <c r="AK175" s="21"/>
      <c r="AL175" s="21"/>
      <c r="AM175" s="21"/>
      <c r="AN175" s="21"/>
      <c r="AO175" s="21"/>
      <c r="AP175" s="21"/>
      <c r="AQ175" s="21"/>
      <c r="AR175" s="21"/>
      <c r="AS175" s="21"/>
      <c r="AT175" s="21"/>
      <c r="AU175" s="21"/>
      <c r="AV175" s="21"/>
      <c r="AW175" s="21"/>
      <c r="AX175" s="21"/>
      <c r="AY175" s="21"/>
      <c r="AZ175" s="21"/>
      <c r="BA175" s="21"/>
      <c r="BB175" s="21"/>
      <c r="BC175" s="21"/>
      <c r="BD175" s="21"/>
      <c r="BE175" s="21"/>
      <c r="BF175" s="21"/>
      <c r="BG175" s="21"/>
      <c r="BH175" s="21"/>
      <c r="BI175" s="21"/>
      <c r="BJ175" s="21"/>
      <c r="BK175" s="21"/>
      <c r="BL175" s="21"/>
      <c r="BM175" s="21"/>
      <c r="BN175" s="21"/>
      <c r="BO175" s="21"/>
      <c r="BP175" s="21"/>
      <c r="BQ175" s="21"/>
      <c r="BR175" s="21"/>
      <c r="BS175" s="21"/>
      <c r="BT175" s="21"/>
      <c r="BU175" s="21"/>
      <c r="BV175" s="21"/>
      <c r="BW175" s="21"/>
      <c r="BX175" s="21"/>
      <c r="BY175" s="21"/>
      <c r="BZ175" s="21"/>
      <c r="CA175" s="21"/>
      <c r="CB175" s="21"/>
      <c r="CC175" s="21"/>
      <c r="CD175" s="21"/>
      <c r="CE175" s="21"/>
      <c r="CF175" s="21"/>
      <c r="CG175" s="21"/>
      <c r="CH175" s="21"/>
      <c r="CI175" s="21"/>
      <c r="CJ175" s="21"/>
    </row>
    <row r="176" spans="1:88" s="22" customFormat="1" ht="23.25" customHeight="1" outlineLevel="1" x14ac:dyDescent="0.2">
      <c r="A176" s="29"/>
      <c r="B176" s="81"/>
      <c r="C176" s="82"/>
      <c r="D176" s="89"/>
      <c r="E176" s="91"/>
      <c r="F176" s="92"/>
      <c r="G176" s="93"/>
      <c r="H176" s="45"/>
      <c r="I176" s="41"/>
      <c r="J176" s="214"/>
      <c r="K176" s="37"/>
      <c r="L176" s="38"/>
      <c r="M176" s="38"/>
      <c r="N176" s="37"/>
      <c r="O176" s="39"/>
      <c r="P176" s="53"/>
      <c r="Q176" s="55"/>
      <c r="R176" s="137" t="s">
        <v>600</v>
      </c>
      <c r="S176" s="136" t="s">
        <v>600</v>
      </c>
      <c r="T176" s="136" t="s">
        <v>17</v>
      </c>
      <c r="U176" s="136" t="s">
        <v>17</v>
      </c>
      <c r="V176" s="136"/>
      <c r="W176" s="136"/>
      <c r="X176" s="263"/>
      <c r="Y176" s="1" t="str">
        <f t="shared" si="0"/>
        <v>_</v>
      </c>
      <c r="Z176" s="1" t="str">
        <f t="shared" si="1"/>
        <v>_</v>
      </c>
      <c r="AA176" s="21"/>
      <c r="AB176" s="21"/>
      <c r="AC176" s="21"/>
      <c r="AD176" s="21"/>
      <c r="AE176" s="21"/>
      <c r="AF176" s="21"/>
      <c r="AG176" s="21"/>
      <c r="AH176" s="21"/>
      <c r="AI176" s="21"/>
      <c r="AJ176" s="21"/>
      <c r="AK176" s="21"/>
      <c r="AL176" s="21"/>
      <c r="AM176" s="21"/>
      <c r="AN176" s="21"/>
      <c r="AO176" s="21"/>
      <c r="AP176" s="21"/>
      <c r="AQ176" s="21"/>
      <c r="AR176" s="21"/>
      <c r="AS176" s="21"/>
      <c r="AT176" s="21"/>
      <c r="AU176" s="21"/>
      <c r="AV176" s="21"/>
      <c r="AW176" s="21"/>
      <c r="AX176" s="21"/>
      <c r="AY176" s="21"/>
      <c r="AZ176" s="21"/>
      <c r="BA176" s="21"/>
      <c r="BB176" s="21"/>
      <c r="BC176" s="21"/>
      <c r="BD176" s="21"/>
      <c r="BE176" s="21"/>
      <c r="BF176" s="21"/>
      <c r="BG176" s="21"/>
      <c r="BH176" s="21"/>
      <c r="BI176" s="21"/>
      <c r="BJ176" s="21"/>
      <c r="BK176" s="21"/>
      <c r="BL176" s="21"/>
      <c r="BM176" s="21"/>
      <c r="BN176" s="21"/>
      <c r="BO176" s="21"/>
      <c r="BP176" s="21"/>
      <c r="BQ176" s="21"/>
      <c r="BR176" s="21"/>
      <c r="BS176" s="21"/>
      <c r="BT176" s="21"/>
      <c r="BU176" s="21"/>
      <c r="BV176" s="21"/>
      <c r="BW176" s="21"/>
      <c r="BX176" s="21"/>
      <c r="BY176" s="21"/>
      <c r="BZ176" s="21"/>
      <c r="CA176" s="21"/>
      <c r="CB176" s="21"/>
      <c r="CC176" s="21"/>
      <c r="CD176" s="21"/>
      <c r="CE176" s="21"/>
      <c r="CF176" s="21"/>
      <c r="CG176" s="21"/>
      <c r="CH176" s="21"/>
      <c r="CI176" s="21"/>
      <c r="CJ176" s="21"/>
    </row>
    <row r="177" spans="1:88" s="22" customFormat="1" ht="23.25" customHeight="1" outlineLevel="1" x14ac:dyDescent="0.2">
      <c r="A177" s="29"/>
      <c r="B177" s="81"/>
      <c r="C177" s="82"/>
      <c r="D177" s="89"/>
      <c r="E177" s="91"/>
      <c r="F177" s="92"/>
      <c r="G177" s="93"/>
      <c r="H177" s="45"/>
      <c r="I177" s="41"/>
      <c r="J177" s="214"/>
      <c r="K177" s="37"/>
      <c r="L177" s="38"/>
      <c r="M177" s="38"/>
      <c r="N177" s="37"/>
      <c r="O177" s="39"/>
      <c r="P177" s="53"/>
      <c r="Q177" s="55"/>
      <c r="R177" s="137" t="s">
        <v>600</v>
      </c>
      <c r="S177" s="136" t="s">
        <v>600</v>
      </c>
      <c r="T177" s="136" t="s">
        <v>17</v>
      </c>
      <c r="U177" s="136" t="s">
        <v>17</v>
      </c>
      <c r="V177" s="136"/>
      <c r="W177" s="136"/>
      <c r="X177" s="263"/>
      <c r="Y177" s="1" t="str">
        <f t="shared" si="0"/>
        <v>_</v>
      </c>
      <c r="Z177" s="1" t="str">
        <f t="shared" si="1"/>
        <v>_</v>
      </c>
      <c r="AA177" s="21"/>
      <c r="AB177" s="21"/>
      <c r="AC177" s="21"/>
      <c r="AD177" s="21"/>
      <c r="AE177" s="21"/>
      <c r="AF177" s="21"/>
      <c r="AG177" s="21"/>
      <c r="AH177" s="21"/>
      <c r="AI177" s="21"/>
      <c r="AJ177" s="21"/>
      <c r="AK177" s="21"/>
      <c r="AL177" s="21"/>
      <c r="AM177" s="21"/>
      <c r="AN177" s="21"/>
      <c r="AO177" s="21"/>
      <c r="AP177" s="21"/>
      <c r="AQ177" s="21"/>
      <c r="AR177" s="21"/>
      <c r="AS177" s="21"/>
      <c r="AT177" s="21"/>
      <c r="AU177" s="21"/>
      <c r="AV177" s="21"/>
      <c r="AW177" s="21"/>
      <c r="AX177" s="21"/>
      <c r="AY177" s="21"/>
      <c r="AZ177" s="21"/>
      <c r="BA177" s="21"/>
      <c r="BB177" s="21"/>
      <c r="BC177" s="21"/>
      <c r="BD177" s="21"/>
      <c r="BE177" s="21"/>
      <c r="BF177" s="21"/>
      <c r="BG177" s="21"/>
      <c r="BH177" s="21"/>
      <c r="BI177" s="21"/>
      <c r="BJ177" s="21"/>
      <c r="BK177" s="21"/>
      <c r="BL177" s="21"/>
      <c r="BM177" s="21"/>
      <c r="BN177" s="21"/>
      <c r="BO177" s="21"/>
      <c r="BP177" s="21"/>
      <c r="BQ177" s="21"/>
      <c r="BR177" s="21"/>
      <c r="BS177" s="21"/>
      <c r="BT177" s="21"/>
      <c r="BU177" s="21"/>
      <c r="BV177" s="21"/>
      <c r="BW177" s="21"/>
      <c r="BX177" s="21"/>
      <c r="BY177" s="21"/>
      <c r="BZ177" s="21"/>
      <c r="CA177" s="21"/>
      <c r="CB177" s="21"/>
      <c r="CC177" s="21"/>
      <c r="CD177" s="21"/>
      <c r="CE177" s="21"/>
      <c r="CF177" s="21"/>
      <c r="CG177" s="21"/>
      <c r="CH177" s="21"/>
      <c r="CI177" s="21"/>
      <c r="CJ177" s="21"/>
    </row>
    <row r="178" spans="1:88" s="22" customFormat="1" ht="23.25" customHeight="1" outlineLevel="1" x14ac:dyDescent="0.2">
      <c r="A178" s="29"/>
      <c r="B178" s="81"/>
      <c r="C178" s="82"/>
      <c r="D178" s="89"/>
      <c r="E178" s="91"/>
      <c r="F178" s="92"/>
      <c r="G178" s="93"/>
      <c r="H178" s="45"/>
      <c r="I178" s="41"/>
      <c r="J178" s="214"/>
      <c r="K178" s="37"/>
      <c r="L178" s="38"/>
      <c r="M178" s="38"/>
      <c r="N178" s="37"/>
      <c r="O178" s="39"/>
      <c r="P178" s="53"/>
      <c r="Q178" s="55"/>
      <c r="R178" s="137" t="s">
        <v>600</v>
      </c>
      <c r="S178" s="136" t="s">
        <v>600</v>
      </c>
      <c r="T178" s="136" t="s">
        <v>17</v>
      </c>
      <c r="U178" s="136" t="s">
        <v>17</v>
      </c>
      <c r="V178" s="136"/>
      <c r="W178" s="136"/>
      <c r="X178" s="263"/>
      <c r="Y178" s="1" t="str">
        <f t="shared" si="0"/>
        <v>_</v>
      </c>
      <c r="Z178" s="1" t="str">
        <f t="shared" si="1"/>
        <v>_</v>
      </c>
      <c r="AA178" s="21"/>
      <c r="AB178" s="21"/>
      <c r="AC178" s="21"/>
      <c r="AD178" s="21"/>
      <c r="AE178" s="21"/>
      <c r="AF178" s="21"/>
      <c r="AG178" s="21"/>
      <c r="AH178" s="21"/>
      <c r="AI178" s="21"/>
      <c r="AJ178" s="21"/>
      <c r="AK178" s="21"/>
      <c r="AL178" s="21"/>
      <c r="AM178" s="21"/>
      <c r="AN178" s="21"/>
      <c r="AO178" s="21"/>
      <c r="AP178" s="21"/>
      <c r="AQ178" s="21"/>
      <c r="AR178" s="21"/>
      <c r="AS178" s="21"/>
      <c r="AT178" s="21"/>
      <c r="AU178" s="21"/>
      <c r="AV178" s="21"/>
      <c r="AW178" s="21"/>
      <c r="AX178" s="21"/>
      <c r="AY178" s="21"/>
      <c r="AZ178" s="21"/>
      <c r="BA178" s="21"/>
      <c r="BB178" s="21"/>
      <c r="BC178" s="21"/>
      <c r="BD178" s="21"/>
      <c r="BE178" s="21"/>
      <c r="BF178" s="21"/>
      <c r="BG178" s="21"/>
      <c r="BH178" s="21"/>
      <c r="BI178" s="21"/>
      <c r="BJ178" s="21"/>
      <c r="BK178" s="21"/>
      <c r="BL178" s="21"/>
      <c r="BM178" s="21"/>
      <c r="BN178" s="21"/>
      <c r="BO178" s="21"/>
      <c r="BP178" s="21"/>
      <c r="BQ178" s="21"/>
      <c r="BR178" s="21"/>
      <c r="BS178" s="21"/>
      <c r="BT178" s="21"/>
      <c r="BU178" s="21"/>
      <c r="BV178" s="21"/>
      <c r="BW178" s="21"/>
      <c r="BX178" s="21"/>
      <c r="BY178" s="21"/>
      <c r="BZ178" s="21"/>
      <c r="CA178" s="21"/>
      <c r="CB178" s="21"/>
      <c r="CC178" s="21"/>
      <c r="CD178" s="21"/>
      <c r="CE178" s="21"/>
      <c r="CF178" s="21"/>
      <c r="CG178" s="21"/>
      <c r="CH178" s="21"/>
      <c r="CI178" s="21"/>
      <c r="CJ178" s="21"/>
    </row>
    <row r="179" spans="1:88" s="22" customFormat="1" ht="23.25" customHeight="1" outlineLevel="1" x14ac:dyDescent="0.2">
      <c r="A179" s="29"/>
      <c r="B179" s="81"/>
      <c r="C179" s="82"/>
      <c r="D179" s="89"/>
      <c r="E179" s="91"/>
      <c r="F179" s="92"/>
      <c r="G179" s="93"/>
      <c r="H179" s="45"/>
      <c r="I179" s="41"/>
      <c r="J179" s="214"/>
      <c r="K179" s="37"/>
      <c r="L179" s="38"/>
      <c r="M179" s="38"/>
      <c r="N179" s="37"/>
      <c r="O179" s="39"/>
      <c r="P179" s="53"/>
      <c r="Q179" s="55"/>
      <c r="R179" s="137" t="s">
        <v>600</v>
      </c>
      <c r="S179" s="136" t="s">
        <v>600</v>
      </c>
      <c r="T179" s="136" t="s">
        <v>17</v>
      </c>
      <c r="U179" s="136" t="s">
        <v>17</v>
      </c>
      <c r="V179" s="136"/>
      <c r="W179" s="136"/>
      <c r="X179" s="263"/>
      <c r="Y179" s="1" t="str">
        <f t="shared" si="0"/>
        <v>_</v>
      </c>
      <c r="Z179" s="1" t="str">
        <f t="shared" si="1"/>
        <v>_</v>
      </c>
      <c r="AA179" s="21"/>
      <c r="AB179" s="21"/>
      <c r="AC179" s="21"/>
      <c r="AD179" s="21"/>
      <c r="AE179" s="21"/>
      <c r="AF179" s="21"/>
      <c r="AG179" s="21"/>
      <c r="AH179" s="21"/>
      <c r="AI179" s="21"/>
      <c r="AJ179" s="21"/>
      <c r="AK179" s="21"/>
      <c r="AL179" s="21"/>
      <c r="AM179" s="21"/>
      <c r="AN179" s="21"/>
      <c r="AO179" s="21"/>
      <c r="AP179" s="21"/>
      <c r="AQ179" s="21"/>
      <c r="AR179" s="21"/>
      <c r="AS179" s="21"/>
      <c r="AT179" s="21"/>
      <c r="AU179" s="21"/>
      <c r="AV179" s="21"/>
      <c r="AW179" s="21"/>
      <c r="AX179" s="21"/>
      <c r="AY179" s="21"/>
      <c r="AZ179" s="21"/>
      <c r="BA179" s="21"/>
      <c r="BB179" s="21"/>
      <c r="BC179" s="21"/>
      <c r="BD179" s="21"/>
      <c r="BE179" s="21"/>
      <c r="BF179" s="21"/>
      <c r="BG179" s="21"/>
      <c r="BH179" s="21"/>
      <c r="BI179" s="21"/>
      <c r="BJ179" s="21"/>
      <c r="BK179" s="21"/>
      <c r="BL179" s="21"/>
      <c r="BM179" s="21"/>
      <c r="BN179" s="21"/>
      <c r="BO179" s="21"/>
      <c r="BP179" s="21"/>
      <c r="BQ179" s="21"/>
      <c r="BR179" s="21"/>
      <c r="BS179" s="21"/>
      <c r="BT179" s="21"/>
      <c r="BU179" s="21"/>
      <c r="BV179" s="21"/>
      <c r="BW179" s="21"/>
      <c r="BX179" s="21"/>
      <c r="BY179" s="21"/>
      <c r="BZ179" s="21"/>
      <c r="CA179" s="21"/>
      <c r="CB179" s="21"/>
      <c r="CC179" s="21"/>
      <c r="CD179" s="21"/>
      <c r="CE179" s="21"/>
      <c r="CF179" s="21"/>
      <c r="CG179" s="21"/>
      <c r="CH179" s="21"/>
      <c r="CI179" s="21"/>
      <c r="CJ179" s="21"/>
    </row>
    <row r="180" spans="1:88" s="22" customFormat="1" ht="23.25" customHeight="1" outlineLevel="1" x14ac:dyDescent="0.2">
      <c r="A180" s="29"/>
      <c r="B180" s="81"/>
      <c r="C180" s="82"/>
      <c r="D180" s="89"/>
      <c r="E180" s="91"/>
      <c r="F180" s="92"/>
      <c r="G180" s="93"/>
      <c r="H180" s="45"/>
      <c r="I180" s="41"/>
      <c r="J180" s="214"/>
      <c r="K180" s="37"/>
      <c r="L180" s="38"/>
      <c r="M180" s="38"/>
      <c r="N180" s="37"/>
      <c r="O180" s="39"/>
      <c r="P180" s="53"/>
      <c r="Q180" s="55"/>
      <c r="R180" s="137" t="s">
        <v>600</v>
      </c>
      <c r="S180" s="136" t="s">
        <v>600</v>
      </c>
      <c r="T180" s="136" t="s">
        <v>17</v>
      </c>
      <c r="U180" s="136" t="s">
        <v>17</v>
      </c>
      <c r="V180" s="136"/>
      <c r="W180" s="136"/>
      <c r="X180" s="263"/>
      <c r="Y180" s="1" t="str">
        <f t="shared" si="0"/>
        <v>_</v>
      </c>
      <c r="Z180" s="1" t="str">
        <f t="shared" si="1"/>
        <v>_</v>
      </c>
      <c r="AA180" s="21"/>
      <c r="AB180" s="21"/>
      <c r="AC180" s="21"/>
      <c r="AD180" s="21"/>
      <c r="AE180" s="21"/>
      <c r="AF180" s="21"/>
      <c r="AG180" s="21"/>
      <c r="AH180" s="21"/>
      <c r="AI180" s="21"/>
      <c r="AJ180" s="21"/>
      <c r="AK180" s="21"/>
      <c r="AL180" s="21"/>
      <c r="AM180" s="21"/>
      <c r="AN180" s="21"/>
      <c r="AO180" s="21"/>
      <c r="AP180" s="21"/>
      <c r="AQ180" s="21"/>
      <c r="AR180" s="21"/>
      <c r="AS180" s="21"/>
      <c r="AT180" s="21"/>
      <c r="AU180" s="21"/>
      <c r="AV180" s="21"/>
      <c r="AW180" s="21"/>
      <c r="AX180" s="21"/>
      <c r="AY180" s="21"/>
      <c r="AZ180" s="21"/>
      <c r="BA180" s="21"/>
      <c r="BB180" s="21"/>
      <c r="BC180" s="21"/>
      <c r="BD180" s="21"/>
      <c r="BE180" s="21"/>
      <c r="BF180" s="21"/>
      <c r="BG180" s="21"/>
      <c r="BH180" s="21"/>
      <c r="BI180" s="21"/>
      <c r="BJ180" s="21"/>
      <c r="BK180" s="21"/>
      <c r="BL180" s="21"/>
      <c r="BM180" s="21"/>
      <c r="BN180" s="21"/>
      <c r="BO180" s="21"/>
      <c r="BP180" s="21"/>
      <c r="BQ180" s="21"/>
      <c r="BR180" s="21"/>
      <c r="BS180" s="21"/>
      <c r="BT180" s="21"/>
      <c r="BU180" s="21"/>
      <c r="BV180" s="21"/>
      <c r="BW180" s="21"/>
      <c r="BX180" s="21"/>
      <c r="BY180" s="21"/>
      <c r="BZ180" s="21"/>
      <c r="CA180" s="21"/>
      <c r="CB180" s="21"/>
      <c r="CC180" s="21"/>
      <c r="CD180" s="21"/>
      <c r="CE180" s="21"/>
      <c r="CF180" s="21"/>
      <c r="CG180" s="21"/>
      <c r="CH180" s="21"/>
      <c r="CI180" s="21"/>
      <c r="CJ180" s="21"/>
    </row>
    <row r="181" spans="1:88" s="22" customFormat="1" ht="23.25" customHeight="1" outlineLevel="1" x14ac:dyDescent="0.2">
      <c r="A181" s="29"/>
      <c r="B181" s="81"/>
      <c r="C181" s="82"/>
      <c r="D181" s="89"/>
      <c r="E181" s="91"/>
      <c r="F181" s="92"/>
      <c r="G181" s="93"/>
      <c r="H181" s="45"/>
      <c r="I181" s="41"/>
      <c r="J181" s="214"/>
      <c r="K181" s="37"/>
      <c r="L181" s="38"/>
      <c r="M181" s="38"/>
      <c r="N181" s="37"/>
      <c r="O181" s="39"/>
      <c r="P181" s="53"/>
      <c r="Q181" s="55"/>
      <c r="R181" s="137" t="s">
        <v>600</v>
      </c>
      <c r="S181" s="136" t="s">
        <v>600</v>
      </c>
      <c r="T181" s="136" t="s">
        <v>17</v>
      </c>
      <c r="U181" s="136" t="s">
        <v>17</v>
      </c>
      <c r="V181" s="136"/>
      <c r="W181" s="136"/>
      <c r="X181" s="263"/>
      <c r="Y181" s="1" t="str">
        <f t="shared" si="0"/>
        <v>_</v>
      </c>
      <c r="Z181" s="1" t="str">
        <f t="shared" si="1"/>
        <v>_</v>
      </c>
      <c r="AA181" s="21"/>
      <c r="AB181" s="21"/>
      <c r="AC181" s="21"/>
      <c r="AD181" s="21"/>
      <c r="AE181" s="21"/>
      <c r="AF181" s="21"/>
      <c r="AG181" s="21"/>
      <c r="AH181" s="21"/>
      <c r="AI181" s="21"/>
      <c r="AJ181" s="21"/>
      <c r="AK181" s="21"/>
      <c r="AL181" s="21"/>
      <c r="AM181" s="21"/>
      <c r="AN181" s="21"/>
      <c r="AO181" s="21"/>
      <c r="AP181" s="21"/>
      <c r="AQ181" s="21"/>
      <c r="AR181" s="21"/>
      <c r="AS181" s="21"/>
      <c r="AT181" s="21"/>
      <c r="AU181" s="21"/>
      <c r="AV181" s="21"/>
      <c r="AW181" s="21"/>
      <c r="AX181" s="21"/>
      <c r="AY181" s="21"/>
      <c r="AZ181" s="21"/>
      <c r="BA181" s="21"/>
      <c r="BB181" s="21"/>
      <c r="BC181" s="21"/>
      <c r="BD181" s="21"/>
      <c r="BE181" s="21"/>
      <c r="BF181" s="21"/>
      <c r="BG181" s="21"/>
      <c r="BH181" s="21"/>
      <c r="BI181" s="21"/>
      <c r="BJ181" s="21"/>
      <c r="BK181" s="21"/>
      <c r="BL181" s="21"/>
      <c r="BM181" s="21"/>
      <c r="BN181" s="21"/>
      <c r="BO181" s="21"/>
      <c r="BP181" s="21"/>
      <c r="BQ181" s="21"/>
      <c r="BR181" s="21"/>
      <c r="BS181" s="21"/>
      <c r="BT181" s="21"/>
      <c r="BU181" s="21"/>
      <c r="BV181" s="21"/>
      <c r="BW181" s="21"/>
      <c r="BX181" s="21"/>
      <c r="BY181" s="21"/>
      <c r="BZ181" s="21"/>
      <c r="CA181" s="21"/>
      <c r="CB181" s="21"/>
      <c r="CC181" s="21"/>
      <c r="CD181" s="21"/>
      <c r="CE181" s="21"/>
      <c r="CF181" s="21"/>
      <c r="CG181" s="21"/>
      <c r="CH181" s="21"/>
      <c r="CI181" s="21"/>
      <c r="CJ181" s="21"/>
    </row>
    <row r="182" spans="1:88" s="22" customFormat="1" ht="23.25" customHeight="1" outlineLevel="1" x14ac:dyDescent="0.2">
      <c r="A182" s="29"/>
      <c r="B182" s="81"/>
      <c r="C182" s="82"/>
      <c r="D182" s="89"/>
      <c r="E182" s="91"/>
      <c r="F182" s="92"/>
      <c r="G182" s="93"/>
      <c r="H182" s="45"/>
      <c r="I182" s="41"/>
      <c r="J182" s="214"/>
      <c r="K182" s="37"/>
      <c r="L182" s="38"/>
      <c r="M182" s="38"/>
      <c r="N182" s="37"/>
      <c r="O182" s="39"/>
      <c r="P182" s="53"/>
      <c r="Q182" s="55"/>
      <c r="R182" s="137" t="s">
        <v>600</v>
      </c>
      <c r="S182" s="136" t="s">
        <v>600</v>
      </c>
      <c r="T182" s="136" t="s">
        <v>17</v>
      </c>
      <c r="U182" s="136" t="s">
        <v>17</v>
      </c>
      <c r="V182" s="136"/>
      <c r="W182" s="136"/>
      <c r="X182" s="263"/>
      <c r="Y182" s="1" t="str">
        <f t="shared" si="0"/>
        <v>_</v>
      </c>
      <c r="Z182" s="1" t="str">
        <f t="shared" si="1"/>
        <v>_</v>
      </c>
      <c r="AA182" s="21"/>
      <c r="AB182" s="21"/>
      <c r="AC182" s="21"/>
      <c r="AD182" s="21"/>
      <c r="AE182" s="21"/>
      <c r="AF182" s="21"/>
      <c r="AG182" s="21"/>
      <c r="AH182" s="21"/>
      <c r="AI182" s="21"/>
      <c r="AJ182" s="21"/>
      <c r="AK182" s="21"/>
      <c r="AL182" s="21"/>
      <c r="AM182" s="21"/>
      <c r="AN182" s="21"/>
      <c r="AO182" s="21"/>
      <c r="AP182" s="21"/>
      <c r="AQ182" s="21"/>
      <c r="AR182" s="21"/>
      <c r="AS182" s="21"/>
      <c r="AT182" s="21"/>
      <c r="AU182" s="21"/>
      <c r="AV182" s="21"/>
      <c r="AW182" s="21"/>
      <c r="AX182" s="21"/>
      <c r="AY182" s="21"/>
      <c r="AZ182" s="21"/>
      <c r="BA182" s="21"/>
      <c r="BB182" s="21"/>
      <c r="BC182" s="21"/>
      <c r="BD182" s="21"/>
      <c r="BE182" s="21"/>
      <c r="BF182" s="21"/>
      <c r="BG182" s="21"/>
      <c r="BH182" s="21"/>
      <c r="BI182" s="21"/>
      <c r="BJ182" s="21"/>
      <c r="BK182" s="21"/>
      <c r="BL182" s="21"/>
      <c r="BM182" s="21"/>
      <c r="BN182" s="21"/>
      <c r="BO182" s="21"/>
      <c r="BP182" s="21"/>
      <c r="BQ182" s="21"/>
      <c r="BR182" s="21"/>
      <c r="BS182" s="21"/>
      <c r="BT182" s="21"/>
      <c r="BU182" s="21"/>
      <c r="BV182" s="21"/>
      <c r="BW182" s="21"/>
      <c r="BX182" s="21"/>
      <c r="BY182" s="21"/>
      <c r="BZ182" s="21"/>
      <c r="CA182" s="21"/>
      <c r="CB182" s="21"/>
      <c r="CC182" s="21"/>
      <c r="CD182" s="21"/>
      <c r="CE182" s="21"/>
      <c r="CF182" s="21"/>
      <c r="CG182" s="21"/>
      <c r="CH182" s="21"/>
      <c r="CI182" s="21"/>
      <c r="CJ182" s="21"/>
    </row>
    <row r="183" spans="1:88" s="22" customFormat="1" ht="23.25" customHeight="1" outlineLevel="1" x14ac:dyDescent="0.2">
      <c r="A183" s="29"/>
      <c r="B183" s="81"/>
      <c r="C183" s="82"/>
      <c r="D183" s="89"/>
      <c r="E183" s="91"/>
      <c r="F183" s="92"/>
      <c r="G183" s="93"/>
      <c r="H183" s="45"/>
      <c r="I183" s="41"/>
      <c r="J183" s="214"/>
      <c r="K183" s="37"/>
      <c r="L183" s="38"/>
      <c r="M183" s="38"/>
      <c r="N183" s="37"/>
      <c r="O183" s="39"/>
      <c r="P183" s="53"/>
      <c r="Q183" s="55"/>
      <c r="R183" s="137" t="s">
        <v>600</v>
      </c>
      <c r="S183" s="136" t="s">
        <v>600</v>
      </c>
      <c r="T183" s="136" t="s">
        <v>17</v>
      </c>
      <c r="U183" s="136" t="s">
        <v>17</v>
      </c>
      <c r="V183" s="136"/>
      <c r="W183" s="136"/>
      <c r="X183" s="263"/>
      <c r="Y183" s="1" t="str">
        <f t="shared" ref="Y183:Y246" si="2">IF(K183&lt;&gt;"",K183,IF(B183&lt;&gt;"",B183,"_"))</f>
        <v>_</v>
      </c>
      <c r="Z183" s="1" t="str">
        <f t="shared" ref="Z183:Z246" si="3">IF(M183&lt;&gt;"",M183,IF(D183&lt;&gt;"",D183,"_"))</f>
        <v>_</v>
      </c>
      <c r="AA183" s="21"/>
      <c r="AB183" s="21"/>
      <c r="AC183" s="21"/>
      <c r="AD183" s="21"/>
      <c r="AE183" s="21"/>
      <c r="AF183" s="21"/>
      <c r="AG183" s="21"/>
      <c r="AH183" s="21"/>
      <c r="AI183" s="21"/>
      <c r="AJ183" s="21"/>
      <c r="AK183" s="21"/>
      <c r="AL183" s="21"/>
      <c r="AM183" s="21"/>
      <c r="AN183" s="21"/>
      <c r="AO183" s="21"/>
      <c r="AP183" s="21"/>
      <c r="AQ183" s="21"/>
      <c r="AR183" s="21"/>
      <c r="AS183" s="21"/>
      <c r="AT183" s="21"/>
      <c r="AU183" s="21"/>
      <c r="AV183" s="21"/>
      <c r="AW183" s="21"/>
      <c r="AX183" s="21"/>
      <c r="AY183" s="21"/>
      <c r="AZ183" s="21"/>
      <c r="BA183" s="21"/>
      <c r="BB183" s="21"/>
      <c r="BC183" s="21"/>
      <c r="BD183" s="21"/>
      <c r="BE183" s="21"/>
      <c r="BF183" s="21"/>
      <c r="BG183" s="21"/>
      <c r="BH183" s="21"/>
      <c r="BI183" s="21"/>
      <c r="BJ183" s="21"/>
      <c r="BK183" s="21"/>
      <c r="BL183" s="21"/>
      <c r="BM183" s="21"/>
      <c r="BN183" s="21"/>
      <c r="BO183" s="21"/>
      <c r="BP183" s="21"/>
      <c r="BQ183" s="21"/>
      <c r="BR183" s="21"/>
      <c r="BS183" s="21"/>
      <c r="BT183" s="21"/>
      <c r="BU183" s="21"/>
      <c r="BV183" s="21"/>
      <c r="BW183" s="21"/>
      <c r="BX183" s="21"/>
      <c r="BY183" s="21"/>
      <c r="BZ183" s="21"/>
      <c r="CA183" s="21"/>
      <c r="CB183" s="21"/>
      <c r="CC183" s="21"/>
      <c r="CD183" s="21"/>
      <c r="CE183" s="21"/>
      <c r="CF183" s="21"/>
      <c r="CG183" s="21"/>
      <c r="CH183" s="21"/>
      <c r="CI183" s="21"/>
      <c r="CJ183" s="21"/>
    </row>
    <row r="184" spans="1:88" s="22" customFormat="1" ht="23.25" customHeight="1" outlineLevel="1" x14ac:dyDescent="0.2">
      <c r="A184" s="29"/>
      <c r="B184" s="81"/>
      <c r="C184" s="82"/>
      <c r="D184" s="89"/>
      <c r="E184" s="91"/>
      <c r="F184" s="92"/>
      <c r="G184" s="93"/>
      <c r="H184" s="45"/>
      <c r="I184" s="41"/>
      <c r="J184" s="214"/>
      <c r="K184" s="37"/>
      <c r="L184" s="38"/>
      <c r="M184" s="38"/>
      <c r="N184" s="37"/>
      <c r="O184" s="39"/>
      <c r="P184" s="53"/>
      <c r="Q184" s="55"/>
      <c r="R184" s="137" t="s">
        <v>600</v>
      </c>
      <c r="S184" s="136" t="s">
        <v>600</v>
      </c>
      <c r="T184" s="136" t="s">
        <v>17</v>
      </c>
      <c r="U184" s="136" t="s">
        <v>17</v>
      </c>
      <c r="V184" s="136"/>
      <c r="W184" s="136"/>
      <c r="X184" s="263"/>
      <c r="Y184" s="1" t="str">
        <f t="shared" si="2"/>
        <v>_</v>
      </c>
      <c r="Z184" s="1" t="str">
        <f t="shared" si="3"/>
        <v>_</v>
      </c>
      <c r="AA184" s="21"/>
      <c r="AB184" s="21"/>
      <c r="AC184" s="21"/>
      <c r="AD184" s="21"/>
      <c r="AE184" s="21"/>
      <c r="AF184" s="21"/>
      <c r="AG184" s="21"/>
      <c r="AH184" s="21"/>
      <c r="AI184" s="21"/>
      <c r="AJ184" s="21"/>
      <c r="AK184" s="21"/>
      <c r="AL184" s="21"/>
      <c r="AM184" s="21"/>
      <c r="AN184" s="21"/>
      <c r="AO184" s="21"/>
      <c r="AP184" s="21"/>
      <c r="AQ184" s="21"/>
      <c r="AR184" s="21"/>
      <c r="AS184" s="21"/>
      <c r="AT184" s="21"/>
      <c r="AU184" s="21"/>
      <c r="AV184" s="21"/>
      <c r="AW184" s="21"/>
      <c r="AX184" s="21"/>
      <c r="AY184" s="21"/>
      <c r="AZ184" s="21"/>
      <c r="BA184" s="21"/>
      <c r="BB184" s="21"/>
      <c r="BC184" s="21"/>
      <c r="BD184" s="21"/>
      <c r="BE184" s="21"/>
      <c r="BF184" s="21"/>
      <c r="BG184" s="21"/>
      <c r="BH184" s="21"/>
      <c r="BI184" s="21"/>
      <c r="BJ184" s="21"/>
      <c r="BK184" s="21"/>
      <c r="BL184" s="21"/>
      <c r="BM184" s="21"/>
      <c r="BN184" s="21"/>
      <c r="BO184" s="21"/>
      <c r="BP184" s="21"/>
      <c r="BQ184" s="21"/>
      <c r="BR184" s="21"/>
      <c r="BS184" s="21"/>
      <c r="BT184" s="21"/>
      <c r="BU184" s="21"/>
      <c r="BV184" s="21"/>
      <c r="BW184" s="21"/>
      <c r="BX184" s="21"/>
      <c r="BY184" s="21"/>
      <c r="BZ184" s="21"/>
      <c r="CA184" s="21"/>
      <c r="CB184" s="21"/>
      <c r="CC184" s="21"/>
      <c r="CD184" s="21"/>
      <c r="CE184" s="21"/>
      <c r="CF184" s="21"/>
      <c r="CG184" s="21"/>
      <c r="CH184" s="21"/>
      <c r="CI184" s="21"/>
      <c r="CJ184" s="21"/>
    </row>
    <row r="185" spans="1:88" s="22" customFormat="1" ht="23.25" customHeight="1" outlineLevel="1" x14ac:dyDescent="0.2">
      <c r="A185" s="29"/>
      <c r="B185" s="81"/>
      <c r="C185" s="82"/>
      <c r="D185" s="89"/>
      <c r="E185" s="91"/>
      <c r="F185" s="92"/>
      <c r="G185" s="93"/>
      <c r="H185" s="45"/>
      <c r="I185" s="41"/>
      <c r="J185" s="214"/>
      <c r="K185" s="37"/>
      <c r="L185" s="38"/>
      <c r="M185" s="38"/>
      <c r="N185" s="37"/>
      <c r="O185" s="39"/>
      <c r="P185" s="53"/>
      <c r="Q185" s="55"/>
      <c r="R185" s="137" t="s">
        <v>600</v>
      </c>
      <c r="S185" s="136" t="s">
        <v>600</v>
      </c>
      <c r="T185" s="136" t="s">
        <v>17</v>
      </c>
      <c r="U185" s="136" t="s">
        <v>17</v>
      </c>
      <c r="V185" s="136"/>
      <c r="W185" s="136"/>
      <c r="X185" s="263"/>
      <c r="Y185" s="1" t="str">
        <f t="shared" si="2"/>
        <v>_</v>
      </c>
      <c r="Z185" s="1" t="str">
        <f t="shared" si="3"/>
        <v>_</v>
      </c>
      <c r="AA185" s="21"/>
      <c r="AB185" s="21"/>
      <c r="AC185" s="21"/>
      <c r="AD185" s="21"/>
      <c r="AE185" s="21"/>
      <c r="AF185" s="21"/>
      <c r="AG185" s="21"/>
      <c r="AH185" s="21"/>
      <c r="AI185" s="21"/>
      <c r="AJ185" s="21"/>
      <c r="AK185" s="21"/>
      <c r="AL185" s="21"/>
      <c r="AM185" s="21"/>
      <c r="AN185" s="21"/>
      <c r="AO185" s="21"/>
      <c r="AP185" s="21"/>
      <c r="AQ185" s="21"/>
      <c r="AR185" s="21"/>
      <c r="AS185" s="21"/>
      <c r="AT185" s="21"/>
      <c r="AU185" s="21"/>
      <c r="AV185" s="21"/>
      <c r="AW185" s="21"/>
      <c r="AX185" s="21"/>
      <c r="AY185" s="21"/>
      <c r="AZ185" s="21"/>
      <c r="BA185" s="21"/>
      <c r="BB185" s="21"/>
      <c r="BC185" s="21"/>
      <c r="BD185" s="21"/>
      <c r="BE185" s="21"/>
      <c r="BF185" s="21"/>
      <c r="BG185" s="21"/>
      <c r="BH185" s="21"/>
      <c r="BI185" s="21"/>
      <c r="BJ185" s="21"/>
      <c r="BK185" s="21"/>
      <c r="BL185" s="21"/>
      <c r="BM185" s="21"/>
      <c r="BN185" s="21"/>
      <c r="BO185" s="21"/>
      <c r="BP185" s="21"/>
      <c r="BQ185" s="21"/>
      <c r="BR185" s="21"/>
      <c r="BS185" s="21"/>
      <c r="BT185" s="21"/>
      <c r="BU185" s="21"/>
      <c r="BV185" s="21"/>
      <c r="BW185" s="21"/>
      <c r="BX185" s="21"/>
      <c r="BY185" s="21"/>
      <c r="BZ185" s="21"/>
      <c r="CA185" s="21"/>
      <c r="CB185" s="21"/>
      <c r="CC185" s="21"/>
      <c r="CD185" s="21"/>
      <c r="CE185" s="21"/>
      <c r="CF185" s="21"/>
      <c r="CG185" s="21"/>
      <c r="CH185" s="21"/>
      <c r="CI185" s="21"/>
      <c r="CJ185" s="21"/>
    </row>
    <row r="186" spans="1:88" s="22" customFormat="1" ht="23.25" customHeight="1" outlineLevel="1" x14ac:dyDescent="0.2">
      <c r="A186" s="29"/>
      <c r="B186" s="81"/>
      <c r="C186" s="82"/>
      <c r="D186" s="89"/>
      <c r="E186" s="91"/>
      <c r="F186" s="92"/>
      <c r="G186" s="93"/>
      <c r="H186" s="45"/>
      <c r="I186" s="41"/>
      <c r="J186" s="214"/>
      <c r="K186" s="37"/>
      <c r="L186" s="38"/>
      <c r="M186" s="38"/>
      <c r="N186" s="37"/>
      <c r="O186" s="39"/>
      <c r="P186" s="53"/>
      <c r="Q186" s="55"/>
      <c r="R186" s="137" t="s">
        <v>600</v>
      </c>
      <c r="S186" s="136" t="s">
        <v>600</v>
      </c>
      <c r="T186" s="136" t="s">
        <v>17</v>
      </c>
      <c r="U186" s="136" t="s">
        <v>17</v>
      </c>
      <c r="V186" s="136"/>
      <c r="W186" s="136"/>
      <c r="X186" s="263"/>
      <c r="Y186" s="1" t="str">
        <f t="shared" si="2"/>
        <v>_</v>
      </c>
      <c r="Z186" s="1" t="str">
        <f t="shared" si="3"/>
        <v>_</v>
      </c>
      <c r="AA186" s="21"/>
      <c r="AB186" s="21"/>
      <c r="AC186" s="21"/>
      <c r="AD186" s="21"/>
      <c r="AE186" s="21"/>
      <c r="AF186" s="21"/>
      <c r="AG186" s="21"/>
      <c r="AH186" s="21"/>
      <c r="AI186" s="21"/>
      <c r="AJ186" s="21"/>
      <c r="AK186" s="21"/>
      <c r="AL186" s="21"/>
      <c r="AM186" s="21"/>
      <c r="AN186" s="21"/>
      <c r="AO186" s="21"/>
      <c r="AP186" s="21"/>
      <c r="AQ186" s="21"/>
      <c r="AR186" s="21"/>
      <c r="AS186" s="21"/>
      <c r="AT186" s="21"/>
      <c r="AU186" s="21"/>
      <c r="AV186" s="21"/>
      <c r="AW186" s="21"/>
      <c r="AX186" s="21"/>
      <c r="AY186" s="21"/>
      <c r="AZ186" s="21"/>
      <c r="BA186" s="21"/>
      <c r="BB186" s="21"/>
      <c r="BC186" s="21"/>
      <c r="BD186" s="21"/>
      <c r="BE186" s="21"/>
      <c r="BF186" s="21"/>
      <c r="BG186" s="21"/>
      <c r="BH186" s="21"/>
      <c r="BI186" s="21"/>
      <c r="BJ186" s="21"/>
      <c r="BK186" s="21"/>
      <c r="BL186" s="21"/>
      <c r="BM186" s="21"/>
      <c r="BN186" s="21"/>
      <c r="BO186" s="21"/>
      <c r="BP186" s="21"/>
      <c r="BQ186" s="21"/>
      <c r="BR186" s="21"/>
      <c r="BS186" s="21"/>
      <c r="BT186" s="21"/>
      <c r="BU186" s="21"/>
      <c r="BV186" s="21"/>
      <c r="BW186" s="21"/>
      <c r="BX186" s="21"/>
      <c r="BY186" s="21"/>
      <c r="BZ186" s="21"/>
      <c r="CA186" s="21"/>
      <c r="CB186" s="21"/>
      <c r="CC186" s="21"/>
      <c r="CD186" s="21"/>
      <c r="CE186" s="21"/>
      <c r="CF186" s="21"/>
      <c r="CG186" s="21"/>
      <c r="CH186" s="21"/>
      <c r="CI186" s="21"/>
      <c r="CJ186" s="21"/>
    </row>
    <row r="187" spans="1:88" s="22" customFormat="1" ht="23.25" customHeight="1" outlineLevel="1" x14ac:dyDescent="0.2">
      <c r="A187" s="29"/>
      <c r="B187" s="81"/>
      <c r="C187" s="82"/>
      <c r="D187" s="89"/>
      <c r="E187" s="91"/>
      <c r="F187" s="92"/>
      <c r="G187" s="93"/>
      <c r="H187" s="44"/>
      <c r="I187" s="40"/>
      <c r="J187" s="214"/>
      <c r="K187" s="37"/>
      <c r="L187" s="38"/>
      <c r="M187" s="38"/>
      <c r="N187" s="37"/>
      <c r="O187" s="39"/>
      <c r="P187" s="53"/>
      <c r="Q187" s="55"/>
      <c r="R187" s="137" t="s">
        <v>600</v>
      </c>
      <c r="S187" s="136" t="s">
        <v>600</v>
      </c>
      <c r="T187" s="136" t="s">
        <v>17</v>
      </c>
      <c r="U187" s="136" t="s">
        <v>17</v>
      </c>
      <c r="V187" s="136"/>
      <c r="W187" s="136"/>
      <c r="X187" s="263"/>
      <c r="Y187" s="1" t="str">
        <f t="shared" si="2"/>
        <v>_</v>
      </c>
      <c r="Z187" s="1" t="str">
        <f t="shared" si="3"/>
        <v>_</v>
      </c>
      <c r="AA187" s="21"/>
      <c r="AB187" s="21"/>
      <c r="AC187" s="21"/>
      <c r="AD187" s="21"/>
      <c r="AE187" s="21"/>
      <c r="AF187" s="21"/>
      <c r="AG187" s="21"/>
      <c r="AH187" s="21"/>
      <c r="AI187" s="21"/>
      <c r="AJ187" s="21"/>
      <c r="AK187" s="21"/>
      <c r="AL187" s="21"/>
      <c r="AM187" s="21"/>
      <c r="AN187" s="21"/>
      <c r="AO187" s="21"/>
      <c r="AP187" s="21"/>
      <c r="AQ187" s="21"/>
      <c r="AR187" s="21"/>
      <c r="AS187" s="21"/>
      <c r="AT187" s="21"/>
      <c r="AU187" s="21"/>
      <c r="AV187" s="21"/>
      <c r="AW187" s="21"/>
      <c r="AX187" s="21"/>
      <c r="AY187" s="21"/>
      <c r="AZ187" s="21"/>
      <c r="BA187" s="21"/>
      <c r="BB187" s="21"/>
      <c r="BC187" s="21"/>
      <c r="BD187" s="21"/>
      <c r="BE187" s="21"/>
      <c r="BF187" s="21"/>
      <c r="BG187" s="21"/>
      <c r="BH187" s="21"/>
      <c r="BI187" s="21"/>
      <c r="BJ187" s="21"/>
      <c r="BK187" s="21"/>
      <c r="BL187" s="21"/>
      <c r="BM187" s="21"/>
      <c r="BN187" s="21"/>
      <c r="BO187" s="21"/>
      <c r="BP187" s="21"/>
      <c r="BQ187" s="21"/>
      <c r="BR187" s="21"/>
      <c r="BS187" s="21"/>
      <c r="BT187" s="21"/>
      <c r="BU187" s="21"/>
      <c r="BV187" s="21"/>
      <c r="BW187" s="21"/>
      <c r="BX187" s="21"/>
      <c r="BY187" s="21"/>
      <c r="BZ187" s="21"/>
      <c r="CA187" s="21"/>
      <c r="CB187" s="21"/>
      <c r="CC187" s="21"/>
      <c r="CD187" s="21"/>
      <c r="CE187" s="21"/>
      <c r="CF187" s="21"/>
      <c r="CG187" s="21"/>
      <c r="CH187" s="21"/>
      <c r="CI187" s="21"/>
      <c r="CJ187" s="21"/>
    </row>
    <row r="188" spans="1:88" s="22" customFormat="1" ht="23.25" customHeight="1" outlineLevel="1" x14ac:dyDescent="0.2">
      <c r="A188" s="29"/>
      <c r="B188" s="81"/>
      <c r="C188" s="82"/>
      <c r="D188" s="89"/>
      <c r="E188" s="91"/>
      <c r="F188" s="92"/>
      <c r="G188" s="93"/>
      <c r="H188" s="44"/>
      <c r="I188" s="40"/>
      <c r="J188" s="214"/>
      <c r="K188" s="37"/>
      <c r="L188" s="38"/>
      <c r="M188" s="38"/>
      <c r="N188" s="37"/>
      <c r="O188" s="39"/>
      <c r="P188" s="53"/>
      <c r="Q188" s="55"/>
      <c r="R188" s="137" t="s">
        <v>600</v>
      </c>
      <c r="S188" s="136" t="s">
        <v>600</v>
      </c>
      <c r="T188" s="136" t="s">
        <v>17</v>
      </c>
      <c r="U188" s="136" t="s">
        <v>17</v>
      </c>
      <c r="V188" s="136"/>
      <c r="W188" s="136"/>
      <c r="X188" s="263"/>
      <c r="Y188" s="1" t="str">
        <f t="shared" si="2"/>
        <v>_</v>
      </c>
      <c r="Z188" s="1" t="str">
        <f t="shared" si="3"/>
        <v>_</v>
      </c>
      <c r="AA188" s="21"/>
      <c r="AB188" s="21"/>
      <c r="AC188" s="21"/>
      <c r="AD188" s="21"/>
      <c r="AE188" s="21"/>
      <c r="AF188" s="21"/>
      <c r="AG188" s="21"/>
      <c r="AH188" s="21"/>
      <c r="AI188" s="21"/>
      <c r="AJ188" s="21"/>
      <c r="AK188" s="21"/>
      <c r="AL188" s="21"/>
      <c r="AM188" s="21"/>
      <c r="AN188" s="21"/>
      <c r="AO188" s="21"/>
      <c r="AP188" s="21"/>
      <c r="AQ188" s="21"/>
      <c r="AR188" s="21"/>
      <c r="AS188" s="21"/>
      <c r="AT188" s="21"/>
      <c r="AU188" s="21"/>
      <c r="AV188" s="21"/>
      <c r="AW188" s="21"/>
      <c r="AX188" s="21"/>
      <c r="AY188" s="21"/>
      <c r="AZ188" s="21"/>
      <c r="BA188" s="21"/>
      <c r="BB188" s="21"/>
      <c r="BC188" s="21"/>
      <c r="BD188" s="21"/>
      <c r="BE188" s="21"/>
      <c r="BF188" s="21"/>
      <c r="BG188" s="21"/>
      <c r="BH188" s="21"/>
      <c r="BI188" s="21"/>
      <c r="BJ188" s="21"/>
      <c r="BK188" s="21"/>
      <c r="BL188" s="21"/>
      <c r="BM188" s="21"/>
      <c r="BN188" s="21"/>
      <c r="BO188" s="21"/>
      <c r="BP188" s="21"/>
      <c r="BQ188" s="21"/>
      <c r="BR188" s="21"/>
      <c r="BS188" s="21"/>
      <c r="BT188" s="21"/>
      <c r="BU188" s="21"/>
      <c r="BV188" s="21"/>
      <c r="BW188" s="21"/>
      <c r="BX188" s="21"/>
      <c r="BY188" s="21"/>
      <c r="BZ188" s="21"/>
      <c r="CA188" s="21"/>
      <c r="CB188" s="21"/>
      <c r="CC188" s="21"/>
      <c r="CD188" s="21"/>
      <c r="CE188" s="21"/>
      <c r="CF188" s="21"/>
      <c r="CG188" s="21"/>
      <c r="CH188" s="21"/>
      <c r="CI188" s="21"/>
      <c r="CJ188" s="21"/>
    </row>
    <row r="189" spans="1:88" s="22" customFormat="1" ht="23.25" customHeight="1" outlineLevel="1" x14ac:dyDescent="0.2">
      <c r="A189" s="29"/>
      <c r="B189" s="81"/>
      <c r="C189" s="82"/>
      <c r="D189" s="89"/>
      <c r="E189" s="91"/>
      <c r="F189" s="92"/>
      <c r="G189" s="93"/>
      <c r="H189" s="45"/>
      <c r="I189" s="41"/>
      <c r="J189" s="214"/>
      <c r="K189" s="37"/>
      <c r="L189" s="38"/>
      <c r="M189" s="38"/>
      <c r="N189" s="37"/>
      <c r="O189" s="39"/>
      <c r="P189" s="53"/>
      <c r="Q189" s="55"/>
      <c r="R189" s="137" t="s">
        <v>600</v>
      </c>
      <c r="S189" s="136" t="s">
        <v>600</v>
      </c>
      <c r="T189" s="136" t="s">
        <v>17</v>
      </c>
      <c r="U189" s="136" t="s">
        <v>17</v>
      </c>
      <c r="V189" s="136"/>
      <c r="W189" s="136"/>
      <c r="X189" s="263"/>
      <c r="Y189" s="1" t="str">
        <f t="shared" si="2"/>
        <v>_</v>
      </c>
      <c r="Z189" s="1" t="str">
        <f t="shared" si="3"/>
        <v>_</v>
      </c>
      <c r="AA189" s="21"/>
      <c r="AB189" s="21"/>
      <c r="AC189" s="21"/>
      <c r="AD189" s="21"/>
      <c r="AE189" s="21"/>
      <c r="AF189" s="21"/>
      <c r="AG189" s="21"/>
      <c r="AH189" s="21"/>
      <c r="AI189" s="21"/>
      <c r="AJ189" s="21"/>
      <c r="AK189" s="21"/>
      <c r="AL189" s="21"/>
      <c r="AM189" s="21"/>
      <c r="AN189" s="21"/>
      <c r="AO189" s="21"/>
      <c r="AP189" s="21"/>
      <c r="AQ189" s="21"/>
      <c r="AR189" s="21"/>
      <c r="AS189" s="21"/>
      <c r="AT189" s="21"/>
      <c r="AU189" s="21"/>
      <c r="AV189" s="21"/>
      <c r="AW189" s="21"/>
      <c r="AX189" s="21"/>
      <c r="AY189" s="21"/>
      <c r="AZ189" s="21"/>
      <c r="BA189" s="21"/>
      <c r="BB189" s="21"/>
      <c r="BC189" s="21"/>
      <c r="BD189" s="21"/>
      <c r="BE189" s="21"/>
      <c r="BF189" s="21"/>
      <c r="BG189" s="21"/>
      <c r="BH189" s="21"/>
      <c r="BI189" s="21"/>
      <c r="BJ189" s="21"/>
      <c r="BK189" s="21"/>
      <c r="BL189" s="21"/>
      <c r="BM189" s="21"/>
      <c r="BN189" s="21"/>
      <c r="BO189" s="21"/>
      <c r="BP189" s="21"/>
      <c r="BQ189" s="21"/>
      <c r="BR189" s="21"/>
      <c r="BS189" s="21"/>
      <c r="BT189" s="21"/>
      <c r="BU189" s="21"/>
      <c r="BV189" s="21"/>
      <c r="BW189" s="21"/>
      <c r="BX189" s="21"/>
      <c r="BY189" s="21"/>
      <c r="BZ189" s="21"/>
      <c r="CA189" s="21"/>
      <c r="CB189" s="21"/>
      <c r="CC189" s="21"/>
      <c r="CD189" s="21"/>
      <c r="CE189" s="21"/>
      <c r="CF189" s="21"/>
      <c r="CG189" s="21"/>
      <c r="CH189" s="21"/>
      <c r="CI189" s="21"/>
      <c r="CJ189" s="21"/>
    </row>
    <row r="190" spans="1:88" s="22" customFormat="1" ht="23.25" customHeight="1" outlineLevel="1" x14ac:dyDescent="0.2">
      <c r="A190" s="29"/>
      <c r="B190" s="81"/>
      <c r="C190" s="82"/>
      <c r="D190" s="89"/>
      <c r="E190" s="91"/>
      <c r="F190" s="92"/>
      <c r="G190" s="93"/>
      <c r="H190" s="45"/>
      <c r="I190" s="41"/>
      <c r="J190" s="214"/>
      <c r="K190" s="37"/>
      <c r="L190" s="38"/>
      <c r="M190" s="38"/>
      <c r="N190" s="37"/>
      <c r="O190" s="39"/>
      <c r="P190" s="53"/>
      <c r="Q190" s="55"/>
      <c r="R190" s="137" t="s">
        <v>600</v>
      </c>
      <c r="S190" s="136" t="s">
        <v>600</v>
      </c>
      <c r="T190" s="136" t="s">
        <v>17</v>
      </c>
      <c r="U190" s="136" t="s">
        <v>17</v>
      </c>
      <c r="V190" s="136"/>
      <c r="W190" s="136"/>
      <c r="X190" s="263"/>
      <c r="Y190" s="1" t="str">
        <f t="shared" si="2"/>
        <v>_</v>
      </c>
      <c r="Z190" s="1" t="str">
        <f t="shared" si="3"/>
        <v>_</v>
      </c>
      <c r="AA190" s="21"/>
      <c r="AB190" s="21"/>
      <c r="AC190" s="21"/>
      <c r="AD190" s="21"/>
      <c r="AE190" s="21"/>
      <c r="AF190" s="21"/>
      <c r="AG190" s="21"/>
      <c r="AH190" s="21"/>
      <c r="AI190" s="21"/>
      <c r="AJ190" s="21"/>
      <c r="AK190" s="21"/>
      <c r="AL190" s="21"/>
      <c r="AM190" s="21"/>
      <c r="AN190" s="21"/>
      <c r="AO190" s="21"/>
      <c r="AP190" s="21"/>
      <c r="AQ190" s="21"/>
      <c r="AR190" s="21"/>
      <c r="AS190" s="21"/>
      <c r="AT190" s="21"/>
      <c r="AU190" s="21"/>
      <c r="AV190" s="21"/>
      <c r="AW190" s="21"/>
      <c r="AX190" s="21"/>
      <c r="AY190" s="21"/>
      <c r="AZ190" s="21"/>
      <c r="BA190" s="21"/>
      <c r="BB190" s="21"/>
      <c r="BC190" s="21"/>
      <c r="BD190" s="21"/>
      <c r="BE190" s="21"/>
      <c r="BF190" s="21"/>
      <c r="BG190" s="21"/>
      <c r="BH190" s="21"/>
      <c r="BI190" s="21"/>
      <c r="BJ190" s="21"/>
      <c r="BK190" s="21"/>
      <c r="BL190" s="21"/>
      <c r="BM190" s="21"/>
      <c r="BN190" s="21"/>
      <c r="BO190" s="21"/>
      <c r="BP190" s="21"/>
      <c r="BQ190" s="21"/>
      <c r="BR190" s="21"/>
      <c r="BS190" s="21"/>
      <c r="BT190" s="21"/>
      <c r="BU190" s="21"/>
      <c r="BV190" s="21"/>
      <c r="BW190" s="21"/>
      <c r="BX190" s="21"/>
      <c r="BY190" s="21"/>
      <c r="BZ190" s="21"/>
      <c r="CA190" s="21"/>
      <c r="CB190" s="21"/>
      <c r="CC190" s="21"/>
      <c r="CD190" s="21"/>
      <c r="CE190" s="21"/>
      <c r="CF190" s="21"/>
      <c r="CG190" s="21"/>
      <c r="CH190" s="21"/>
      <c r="CI190" s="21"/>
      <c r="CJ190" s="21"/>
    </row>
    <row r="191" spans="1:88" s="22" customFormat="1" ht="23.25" customHeight="1" outlineLevel="1" x14ac:dyDescent="0.2">
      <c r="A191" s="29"/>
      <c r="B191" s="81"/>
      <c r="C191" s="82"/>
      <c r="D191" s="89"/>
      <c r="E191" s="91"/>
      <c r="F191" s="92"/>
      <c r="G191" s="93"/>
      <c r="H191" s="45"/>
      <c r="I191" s="41"/>
      <c r="J191" s="214"/>
      <c r="K191" s="37"/>
      <c r="L191" s="38"/>
      <c r="M191" s="38"/>
      <c r="N191" s="37"/>
      <c r="O191" s="39"/>
      <c r="P191" s="53"/>
      <c r="Q191" s="55"/>
      <c r="R191" s="137" t="s">
        <v>600</v>
      </c>
      <c r="S191" s="136" t="s">
        <v>600</v>
      </c>
      <c r="T191" s="136" t="s">
        <v>17</v>
      </c>
      <c r="U191" s="136" t="s">
        <v>17</v>
      </c>
      <c r="V191" s="136"/>
      <c r="W191" s="136"/>
      <c r="X191" s="263"/>
      <c r="Y191" s="1" t="str">
        <f t="shared" si="2"/>
        <v>_</v>
      </c>
      <c r="Z191" s="1" t="str">
        <f t="shared" si="3"/>
        <v>_</v>
      </c>
      <c r="AA191" s="21"/>
      <c r="AB191" s="21"/>
      <c r="AC191" s="21"/>
      <c r="AD191" s="21"/>
      <c r="AE191" s="21"/>
      <c r="AF191" s="21"/>
      <c r="AG191" s="21"/>
      <c r="AH191" s="21"/>
      <c r="AI191" s="21"/>
      <c r="AJ191" s="21"/>
      <c r="AK191" s="21"/>
      <c r="AL191" s="21"/>
      <c r="AM191" s="21"/>
      <c r="AN191" s="21"/>
      <c r="AO191" s="21"/>
      <c r="AP191" s="21"/>
      <c r="AQ191" s="21"/>
      <c r="AR191" s="21"/>
      <c r="AS191" s="21"/>
      <c r="AT191" s="21"/>
      <c r="AU191" s="21"/>
      <c r="AV191" s="21"/>
      <c r="AW191" s="21"/>
      <c r="AX191" s="21"/>
      <c r="AY191" s="21"/>
      <c r="AZ191" s="21"/>
      <c r="BA191" s="21"/>
      <c r="BB191" s="21"/>
      <c r="BC191" s="21"/>
      <c r="BD191" s="21"/>
      <c r="BE191" s="21"/>
      <c r="BF191" s="21"/>
      <c r="BG191" s="21"/>
      <c r="BH191" s="21"/>
      <c r="BI191" s="21"/>
      <c r="BJ191" s="21"/>
      <c r="BK191" s="21"/>
      <c r="BL191" s="21"/>
      <c r="BM191" s="21"/>
      <c r="BN191" s="21"/>
      <c r="BO191" s="21"/>
      <c r="BP191" s="21"/>
      <c r="BQ191" s="21"/>
      <c r="BR191" s="21"/>
      <c r="BS191" s="21"/>
      <c r="BT191" s="21"/>
      <c r="BU191" s="21"/>
      <c r="BV191" s="21"/>
      <c r="BW191" s="21"/>
      <c r="BX191" s="21"/>
      <c r="BY191" s="21"/>
      <c r="BZ191" s="21"/>
      <c r="CA191" s="21"/>
      <c r="CB191" s="21"/>
      <c r="CC191" s="21"/>
      <c r="CD191" s="21"/>
      <c r="CE191" s="21"/>
      <c r="CF191" s="21"/>
      <c r="CG191" s="21"/>
      <c r="CH191" s="21"/>
      <c r="CI191" s="21"/>
      <c r="CJ191" s="21"/>
    </row>
    <row r="192" spans="1:88" s="22" customFormat="1" ht="23.25" customHeight="1" outlineLevel="1" x14ac:dyDescent="0.2">
      <c r="A192" s="29"/>
      <c r="B192" s="81"/>
      <c r="C192" s="82"/>
      <c r="D192" s="89"/>
      <c r="E192" s="91"/>
      <c r="F192" s="92"/>
      <c r="G192" s="93"/>
      <c r="H192" s="45"/>
      <c r="I192" s="41"/>
      <c r="J192" s="214"/>
      <c r="K192" s="37"/>
      <c r="L192" s="38"/>
      <c r="M192" s="38"/>
      <c r="N192" s="37"/>
      <c r="O192" s="39"/>
      <c r="P192" s="53"/>
      <c r="Q192" s="55"/>
      <c r="R192" s="137" t="s">
        <v>600</v>
      </c>
      <c r="S192" s="136" t="s">
        <v>600</v>
      </c>
      <c r="T192" s="136" t="s">
        <v>17</v>
      </c>
      <c r="U192" s="136" t="s">
        <v>17</v>
      </c>
      <c r="V192" s="136"/>
      <c r="W192" s="136"/>
      <c r="X192" s="263"/>
      <c r="Y192" s="1" t="str">
        <f t="shared" si="2"/>
        <v>_</v>
      </c>
      <c r="Z192" s="1" t="str">
        <f t="shared" si="3"/>
        <v>_</v>
      </c>
      <c r="AA192" s="21"/>
      <c r="AB192" s="21"/>
      <c r="AC192" s="21"/>
      <c r="AD192" s="21"/>
      <c r="AE192" s="21"/>
      <c r="AF192" s="21"/>
      <c r="AG192" s="21"/>
      <c r="AH192" s="21"/>
      <c r="AI192" s="21"/>
      <c r="AJ192" s="21"/>
      <c r="AK192" s="21"/>
      <c r="AL192" s="21"/>
      <c r="AM192" s="21"/>
      <c r="AN192" s="21"/>
      <c r="AO192" s="21"/>
      <c r="AP192" s="21"/>
      <c r="AQ192" s="21"/>
      <c r="AR192" s="21"/>
      <c r="AS192" s="21"/>
      <c r="AT192" s="21"/>
      <c r="AU192" s="21"/>
      <c r="AV192" s="21"/>
      <c r="AW192" s="21"/>
      <c r="AX192" s="21"/>
      <c r="AY192" s="21"/>
      <c r="AZ192" s="21"/>
      <c r="BA192" s="21"/>
      <c r="BB192" s="21"/>
      <c r="BC192" s="21"/>
      <c r="BD192" s="21"/>
      <c r="BE192" s="21"/>
      <c r="BF192" s="21"/>
      <c r="BG192" s="21"/>
      <c r="BH192" s="21"/>
      <c r="BI192" s="21"/>
      <c r="BJ192" s="21"/>
      <c r="BK192" s="21"/>
      <c r="BL192" s="21"/>
      <c r="BM192" s="21"/>
      <c r="BN192" s="21"/>
      <c r="BO192" s="21"/>
      <c r="BP192" s="21"/>
      <c r="BQ192" s="21"/>
      <c r="BR192" s="21"/>
      <c r="BS192" s="21"/>
      <c r="BT192" s="21"/>
      <c r="BU192" s="21"/>
      <c r="BV192" s="21"/>
      <c r="BW192" s="21"/>
      <c r="BX192" s="21"/>
      <c r="BY192" s="21"/>
      <c r="BZ192" s="21"/>
      <c r="CA192" s="21"/>
      <c r="CB192" s="21"/>
      <c r="CC192" s="21"/>
      <c r="CD192" s="21"/>
      <c r="CE192" s="21"/>
      <c r="CF192" s="21"/>
      <c r="CG192" s="21"/>
      <c r="CH192" s="21"/>
      <c r="CI192" s="21"/>
      <c r="CJ192" s="21"/>
    </row>
    <row r="193" spans="1:88" s="22" customFormat="1" ht="23.25" customHeight="1" outlineLevel="1" x14ac:dyDescent="0.2">
      <c r="A193" s="29"/>
      <c r="B193" s="81"/>
      <c r="C193" s="82"/>
      <c r="D193" s="89"/>
      <c r="E193" s="91"/>
      <c r="F193" s="92"/>
      <c r="G193" s="93"/>
      <c r="H193" s="45"/>
      <c r="I193" s="41"/>
      <c r="J193" s="214"/>
      <c r="K193" s="37"/>
      <c r="L193" s="38"/>
      <c r="M193" s="38"/>
      <c r="N193" s="37"/>
      <c r="O193" s="39"/>
      <c r="P193" s="53"/>
      <c r="Q193" s="55"/>
      <c r="R193" s="137" t="s">
        <v>600</v>
      </c>
      <c r="S193" s="136" t="s">
        <v>600</v>
      </c>
      <c r="T193" s="136" t="s">
        <v>17</v>
      </c>
      <c r="U193" s="136" t="s">
        <v>17</v>
      </c>
      <c r="V193" s="136"/>
      <c r="W193" s="136"/>
      <c r="X193" s="263"/>
      <c r="Y193" s="1" t="str">
        <f t="shared" si="2"/>
        <v>_</v>
      </c>
      <c r="Z193" s="1" t="str">
        <f t="shared" si="3"/>
        <v>_</v>
      </c>
      <c r="AA193" s="21"/>
      <c r="AB193" s="21"/>
      <c r="AC193" s="21"/>
      <c r="AD193" s="21"/>
      <c r="AE193" s="21"/>
      <c r="AF193" s="21"/>
      <c r="AG193" s="21"/>
      <c r="AH193" s="21"/>
      <c r="AI193" s="21"/>
      <c r="AJ193" s="21"/>
      <c r="AK193" s="21"/>
      <c r="AL193" s="21"/>
      <c r="AM193" s="21"/>
      <c r="AN193" s="21"/>
      <c r="AO193" s="21"/>
      <c r="AP193" s="21"/>
      <c r="AQ193" s="21"/>
      <c r="AR193" s="21"/>
      <c r="AS193" s="21"/>
      <c r="AT193" s="21"/>
      <c r="AU193" s="21"/>
      <c r="AV193" s="21"/>
      <c r="AW193" s="21"/>
      <c r="AX193" s="21"/>
      <c r="AY193" s="21"/>
      <c r="AZ193" s="21"/>
      <c r="BA193" s="21"/>
      <c r="BB193" s="21"/>
      <c r="BC193" s="21"/>
      <c r="BD193" s="21"/>
      <c r="BE193" s="21"/>
      <c r="BF193" s="21"/>
      <c r="BG193" s="21"/>
      <c r="BH193" s="21"/>
      <c r="BI193" s="21"/>
      <c r="BJ193" s="21"/>
      <c r="BK193" s="21"/>
      <c r="BL193" s="21"/>
      <c r="BM193" s="21"/>
      <c r="BN193" s="21"/>
      <c r="BO193" s="21"/>
      <c r="BP193" s="21"/>
      <c r="BQ193" s="21"/>
      <c r="BR193" s="21"/>
      <c r="BS193" s="21"/>
      <c r="BT193" s="21"/>
      <c r="BU193" s="21"/>
      <c r="BV193" s="21"/>
      <c r="BW193" s="21"/>
      <c r="BX193" s="21"/>
      <c r="BY193" s="21"/>
      <c r="BZ193" s="21"/>
      <c r="CA193" s="21"/>
      <c r="CB193" s="21"/>
      <c r="CC193" s="21"/>
      <c r="CD193" s="21"/>
      <c r="CE193" s="21"/>
      <c r="CF193" s="21"/>
      <c r="CG193" s="21"/>
      <c r="CH193" s="21"/>
      <c r="CI193" s="21"/>
      <c r="CJ193" s="21"/>
    </row>
    <row r="194" spans="1:88" s="22" customFormat="1" ht="23.25" customHeight="1" outlineLevel="1" x14ac:dyDescent="0.2">
      <c r="A194" s="29"/>
      <c r="B194" s="81"/>
      <c r="C194" s="82"/>
      <c r="D194" s="89"/>
      <c r="E194" s="91"/>
      <c r="F194" s="92"/>
      <c r="G194" s="93"/>
      <c r="H194" s="45"/>
      <c r="I194" s="41"/>
      <c r="J194" s="214"/>
      <c r="K194" s="37"/>
      <c r="L194" s="38"/>
      <c r="M194" s="38"/>
      <c r="N194" s="37"/>
      <c r="O194" s="39"/>
      <c r="P194" s="53"/>
      <c r="Q194" s="55"/>
      <c r="R194" s="137" t="s">
        <v>600</v>
      </c>
      <c r="S194" s="136" t="s">
        <v>600</v>
      </c>
      <c r="T194" s="136" t="s">
        <v>17</v>
      </c>
      <c r="U194" s="136" t="s">
        <v>17</v>
      </c>
      <c r="V194" s="136"/>
      <c r="W194" s="136"/>
      <c r="X194" s="263"/>
      <c r="Y194" s="1" t="str">
        <f t="shared" si="2"/>
        <v>_</v>
      </c>
      <c r="Z194" s="1" t="str">
        <f t="shared" si="3"/>
        <v>_</v>
      </c>
      <c r="AA194" s="21"/>
      <c r="AB194" s="21"/>
      <c r="AC194" s="21"/>
      <c r="AD194" s="21"/>
      <c r="AE194" s="21"/>
      <c r="AF194" s="21"/>
      <c r="AG194" s="21"/>
      <c r="AH194" s="21"/>
      <c r="AI194" s="21"/>
      <c r="AJ194" s="21"/>
      <c r="AK194" s="21"/>
      <c r="AL194" s="21"/>
      <c r="AM194" s="21"/>
      <c r="AN194" s="21"/>
      <c r="AO194" s="21"/>
      <c r="AP194" s="21"/>
      <c r="AQ194" s="21"/>
      <c r="AR194" s="21"/>
      <c r="AS194" s="21"/>
      <c r="AT194" s="21"/>
      <c r="AU194" s="21"/>
      <c r="AV194" s="21"/>
      <c r="AW194" s="21"/>
      <c r="AX194" s="21"/>
      <c r="AY194" s="21"/>
      <c r="AZ194" s="21"/>
      <c r="BA194" s="21"/>
      <c r="BB194" s="21"/>
      <c r="BC194" s="21"/>
      <c r="BD194" s="21"/>
      <c r="BE194" s="21"/>
      <c r="BF194" s="21"/>
      <c r="BG194" s="21"/>
      <c r="BH194" s="21"/>
      <c r="BI194" s="21"/>
      <c r="BJ194" s="21"/>
      <c r="BK194" s="21"/>
      <c r="BL194" s="21"/>
      <c r="BM194" s="21"/>
      <c r="BN194" s="21"/>
      <c r="BO194" s="21"/>
      <c r="BP194" s="21"/>
      <c r="BQ194" s="21"/>
      <c r="BR194" s="21"/>
      <c r="BS194" s="21"/>
      <c r="BT194" s="21"/>
      <c r="BU194" s="21"/>
      <c r="BV194" s="21"/>
      <c r="BW194" s="21"/>
      <c r="BX194" s="21"/>
      <c r="BY194" s="21"/>
      <c r="BZ194" s="21"/>
      <c r="CA194" s="21"/>
      <c r="CB194" s="21"/>
      <c r="CC194" s="21"/>
      <c r="CD194" s="21"/>
      <c r="CE194" s="21"/>
      <c r="CF194" s="21"/>
      <c r="CG194" s="21"/>
      <c r="CH194" s="21"/>
      <c r="CI194" s="21"/>
      <c r="CJ194" s="21"/>
    </row>
    <row r="195" spans="1:88" s="22" customFormat="1" ht="23.25" customHeight="1" outlineLevel="1" x14ac:dyDescent="0.2">
      <c r="A195" s="29"/>
      <c r="B195" s="81"/>
      <c r="C195" s="82"/>
      <c r="D195" s="89"/>
      <c r="E195" s="91"/>
      <c r="F195" s="92"/>
      <c r="G195" s="93"/>
      <c r="H195" s="45"/>
      <c r="I195" s="41"/>
      <c r="J195" s="214"/>
      <c r="K195" s="37"/>
      <c r="L195" s="38"/>
      <c r="M195" s="38"/>
      <c r="N195" s="37"/>
      <c r="O195" s="39"/>
      <c r="P195" s="53"/>
      <c r="Q195" s="55"/>
      <c r="R195" s="137" t="s">
        <v>600</v>
      </c>
      <c r="S195" s="136" t="s">
        <v>600</v>
      </c>
      <c r="T195" s="136" t="s">
        <v>17</v>
      </c>
      <c r="U195" s="136" t="s">
        <v>17</v>
      </c>
      <c r="V195" s="136"/>
      <c r="W195" s="136"/>
      <c r="X195" s="263"/>
      <c r="Y195" s="1" t="str">
        <f t="shared" si="2"/>
        <v>_</v>
      </c>
      <c r="Z195" s="1" t="str">
        <f t="shared" si="3"/>
        <v>_</v>
      </c>
      <c r="AA195" s="21"/>
      <c r="AB195" s="21"/>
      <c r="AC195" s="21"/>
      <c r="AD195" s="21"/>
      <c r="AE195" s="21"/>
      <c r="AF195" s="21"/>
      <c r="AG195" s="21"/>
      <c r="AH195" s="21"/>
      <c r="AI195" s="21"/>
      <c r="AJ195" s="21"/>
      <c r="AK195" s="21"/>
      <c r="AL195" s="21"/>
      <c r="AM195" s="21"/>
      <c r="AN195" s="21"/>
      <c r="AO195" s="21"/>
      <c r="AP195" s="21"/>
      <c r="AQ195" s="21"/>
      <c r="AR195" s="21"/>
      <c r="AS195" s="21"/>
      <c r="AT195" s="21"/>
      <c r="AU195" s="21"/>
      <c r="AV195" s="21"/>
      <c r="AW195" s="21"/>
      <c r="AX195" s="21"/>
      <c r="AY195" s="21"/>
      <c r="AZ195" s="21"/>
      <c r="BA195" s="21"/>
      <c r="BB195" s="21"/>
      <c r="BC195" s="21"/>
      <c r="BD195" s="21"/>
      <c r="BE195" s="21"/>
      <c r="BF195" s="21"/>
      <c r="BG195" s="21"/>
      <c r="BH195" s="21"/>
      <c r="BI195" s="21"/>
      <c r="BJ195" s="21"/>
      <c r="BK195" s="21"/>
      <c r="BL195" s="21"/>
      <c r="BM195" s="21"/>
      <c r="BN195" s="21"/>
      <c r="BO195" s="21"/>
      <c r="BP195" s="21"/>
      <c r="BQ195" s="21"/>
      <c r="BR195" s="21"/>
      <c r="BS195" s="21"/>
      <c r="BT195" s="21"/>
      <c r="BU195" s="21"/>
      <c r="BV195" s="21"/>
      <c r="BW195" s="21"/>
      <c r="BX195" s="21"/>
      <c r="BY195" s="21"/>
      <c r="BZ195" s="21"/>
      <c r="CA195" s="21"/>
      <c r="CB195" s="21"/>
      <c r="CC195" s="21"/>
      <c r="CD195" s="21"/>
      <c r="CE195" s="21"/>
      <c r="CF195" s="21"/>
      <c r="CG195" s="21"/>
      <c r="CH195" s="21"/>
      <c r="CI195" s="21"/>
      <c r="CJ195" s="21"/>
    </row>
    <row r="196" spans="1:88" s="22" customFormat="1" ht="23.25" customHeight="1" outlineLevel="1" x14ac:dyDescent="0.2">
      <c r="A196" s="29"/>
      <c r="B196" s="81"/>
      <c r="C196" s="82"/>
      <c r="D196" s="89"/>
      <c r="E196" s="91"/>
      <c r="F196" s="92"/>
      <c r="G196" s="93"/>
      <c r="H196" s="45"/>
      <c r="I196" s="41"/>
      <c r="J196" s="214"/>
      <c r="K196" s="37"/>
      <c r="L196" s="38"/>
      <c r="M196" s="38"/>
      <c r="N196" s="37"/>
      <c r="O196" s="39"/>
      <c r="P196" s="53"/>
      <c r="Q196" s="55"/>
      <c r="R196" s="137" t="s">
        <v>600</v>
      </c>
      <c r="S196" s="136" t="s">
        <v>600</v>
      </c>
      <c r="T196" s="136" t="s">
        <v>17</v>
      </c>
      <c r="U196" s="136" t="s">
        <v>17</v>
      </c>
      <c r="V196" s="136"/>
      <c r="W196" s="136"/>
      <c r="X196" s="263"/>
      <c r="Y196" s="1" t="str">
        <f t="shared" si="2"/>
        <v>_</v>
      </c>
      <c r="Z196" s="1" t="str">
        <f t="shared" si="3"/>
        <v>_</v>
      </c>
      <c r="AA196" s="21"/>
      <c r="AB196" s="21"/>
      <c r="AC196" s="21"/>
      <c r="AD196" s="21"/>
      <c r="AE196" s="21"/>
      <c r="AF196" s="21"/>
      <c r="AG196" s="21"/>
      <c r="AH196" s="21"/>
      <c r="AI196" s="21"/>
      <c r="AJ196" s="21"/>
      <c r="AK196" s="21"/>
      <c r="AL196" s="21"/>
      <c r="AM196" s="21"/>
      <c r="AN196" s="21"/>
      <c r="AO196" s="21"/>
      <c r="AP196" s="21"/>
      <c r="AQ196" s="21"/>
      <c r="AR196" s="21"/>
      <c r="AS196" s="21"/>
      <c r="AT196" s="21"/>
      <c r="AU196" s="21"/>
      <c r="AV196" s="21"/>
      <c r="AW196" s="21"/>
      <c r="AX196" s="21"/>
      <c r="AY196" s="21"/>
      <c r="AZ196" s="21"/>
      <c r="BA196" s="21"/>
      <c r="BB196" s="21"/>
      <c r="BC196" s="21"/>
      <c r="BD196" s="21"/>
      <c r="BE196" s="21"/>
      <c r="BF196" s="21"/>
      <c r="BG196" s="21"/>
      <c r="BH196" s="21"/>
      <c r="BI196" s="21"/>
      <c r="BJ196" s="21"/>
      <c r="BK196" s="21"/>
      <c r="BL196" s="21"/>
      <c r="BM196" s="21"/>
      <c r="BN196" s="21"/>
      <c r="BO196" s="21"/>
      <c r="BP196" s="21"/>
      <c r="BQ196" s="21"/>
      <c r="BR196" s="21"/>
      <c r="BS196" s="21"/>
      <c r="BT196" s="21"/>
      <c r="BU196" s="21"/>
      <c r="BV196" s="21"/>
      <c r="BW196" s="21"/>
      <c r="BX196" s="21"/>
      <c r="BY196" s="21"/>
      <c r="BZ196" s="21"/>
      <c r="CA196" s="21"/>
      <c r="CB196" s="21"/>
      <c r="CC196" s="21"/>
      <c r="CD196" s="21"/>
      <c r="CE196" s="21"/>
      <c r="CF196" s="21"/>
      <c r="CG196" s="21"/>
      <c r="CH196" s="21"/>
      <c r="CI196" s="21"/>
      <c r="CJ196" s="21"/>
    </row>
    <row r="197" spans="1:88" s="22" customFormat="1" ht="23.25" customHeight="1" outlineLevel="1" x14ac:dyDescent="0.2">
      <c r="A197" s="29"/>
      <c r="B197" s="81"/>
      <c r="C197" s="82"/>
      <c r="D197" s="89"/>
      <c r="E197" s="91"/>
      <c r="F197" s="92"/>
      <c r="G197" s="93"/>
      <c r="H197" s="45"/>
      <c r="I197" s="41"/>
      <c r="J197" s="214"/>
      <c r="K197" s="37"/>
      <c r="L197" s="38"/>
      <c r="M197" s="38"/>
      <c r="N197" s="37"/>
      <c r="O197" s="39"/>
      <c r="P197" s="53"/>
      <c r="Q197" s="55"/>
      <c r="R197" s="137" t="s">
        <v>600</v>
      </c>
      <c r="S197" s="136" t="s">
        <v>600</v>
      </c>
      <c r="T197" s="136" t="s">
        <v>17</v>
      </c>
      <c r="U197" s="136" t="s">
        <v>17</v>
      </c>
      <c r="V197" s="136"/>
      <c r="W197" s="136"/>
      <c r="X197" s="263"/>
      <c r="Y197" s="1" t="str">
        <f t="shared" si="2"/>
        <v>_</v>
      </c>
      <c r="Z197" s="1" t="str">
        <f t="shared" si="3"/>
        <v>_</v>
      </c>
      <c r="AA197" s="21"/>
      <c r="AB197" s="21"/>
      <c r="AC197" s="21"/>
      <c r="AD197" s="21"/>
      <c r="AE197" s="21"/>
      <c r="AF197" s="21"/>
      <c r="AG197" s="21"/>
      <c r="AH197" s="21"/>
      <c r="AI197" s="21"/>
      <c r="AJ197" s="21"/>
      <c r="AK197" s="21"/>
      <c r="AL197" s="21"/>
      <c r="AM197" s="21"/>
      <c r="AN197" s="21"/>
      <c r="AO197" s="21"/>
      <c r="AP197" s="21"/>
      <c r="AQ197" s="21"/>
      <c r="AR197" s="21"/>
      <c r="AS197" s="21"/>
      <c r="AT197" s="21"/>
      <c r="AU197" s="21"/>
      <c r="AV197" s="21"/>
      <c r="AW197" s="21"/>
      <c r="AX197" s="21"/>
      <c r="AY197" s="21"/>
      <c r="AZ197" s="21"/>
      <c r="BA197" s="21"/>
      <c r="BB197" s="21"/>
      <c r="BC197" s="21"/>
      <c r="BD197" s="21"/>
      <c r="BE197" s="21"/>
      <c r="BF197" s="21"/>
      <c r="BG197" s="21"/>
      <c r="BH197" s="21"/>
      <c r="BI197" s="21"/>
      <c r="BJ197" s="21"/>
      <c r="BK197" s="21"/>
      <c r="BL197" s="21"/>
      <c r="BM197" s="21"/>
      <c r="BN197" s="21"/>
      <c r="BO197" s="21"/>
      <c r="BP197" s="21"/>
      <c r="BQ197" s="21"/>
      <c r="BR197" s="21"/>
      <c r="BS197" s="21"/>
      <c r="BT197" s="21"/>
      <c r="BU197" s="21"/>
      <c r="BV197" s="21"/>
      <c r="BW197" s="21"/>
      <c r="BX197" s="21"/>
      <c r="BY197" s="21"/>
      <c r="BZ197" s="21"/>
      <c r="CA197" s="21"/>
      <c r="CB197" s="21"/>
      <c r="CC197" s="21"/>
      <c r="CD197" s="21"/>
      <c r="CE197" s="21"/>
      <c r="CF197" s="21"/>
      <c r="CG197" s="21"/>
      <c r="CH197" s="21"/>
      <c r="CI197" s="21"/>
      <c r="CJ197" s="21"/>
    </row>
    <row r="198" spans="1:88" s="22" customFormat="1" ht="23.25" customHeight="1" outlineLevel="1" x14ac:dyDescent="0.2">
      <c r="A198" s="29"/>
      <c r="B198" s="81"/>
      <c r="C198" s="82"/>
      <c r="D198" s="89"/>
      <c r="E198" s="91"/>
      <c r="F198" s="92"/>
      <c r="G198" s="93"/>
      <c r="H198" s="45"/>
      <c r="I198" s="41"/>
      <c r="J198" s="214"/>
      <c r="K198" s="37"/>
      <c r="L198" s="38"/>
      <c r="M198" s="38"/>
      <c r="N198" s="37"/>
      <c r="O198" s="39"/>
      <c r="P198" s="53"/>
      <c r="Q198" s="55"/>
      <c r="R198" s="137" t="s">
        <v>600</v>
      </c>
      <c r="S198" s="136" t="s">
        <v>600</v>
      </c>
      <c r="T198" s="136" t="s">
        <v>17</v>
      </c>
      <c r="U198" s="136" t="s">
        <v>17</v>
      </c>
      <c r="V198" s="136"/>
      <c r="W198" s="136"/>
      <c r="X198" s="263"/>
      <c r="Y198" s="1" t="str">
        <f t="shared" si="2"/>
        <v>_</v>
      </c>
      <c r="Z198" s="1" t="str">
        <f t="shared" si="3"/>
        <v>_</v>
      </c>
      <c r="AA198" s="21"/>
      <c r="AB198" s="21"/>
      <c r="AC198" s="21"/>
      <c r="AD198" s="21"/>
      <c r="AE198" s="21"/>
      <c r="AF198" s="21"/>
      <c r="AG198" s="21"/>
      <c r="AH198" s="21"/>
      <c r="AI198" s="21"/>
      <c r="AJ198" s="21"/>
      <c r="AK198" s="21"/>
      <c r="AL198" s="21"/>
      <c r="AM198" s="21"/>
      <c r="AN198" s="21"/>
      <c r="AO198" s="21"/>
      <c r="AP198" s="21"/>
      <c r="AQ198" s="21"/>
      <c r="AR198" s="21"/>
      <c r="AS198" s="21"/>
      <c r="AT198" s="21"/>
      <c r="AU198" s="21"/>
      <c r="AV198" s="21"/>
      <c r="AW198" s="21"/>
      <c r="AX198" s="21"/>
      <c r="AY198" s="21"/>
      <c r="AZ198" s="21"/>
      <c r="BA198" s="21"/>
      <c r="BB198" s="21"/>
      <c r="BC198" s="21"/>
      <c r="BD198" s="21"/>
      <c r="BE198" s="21"/>
      <c r="BF198" s="21"/>
      <c r="BG198" s="21"/>
      <c r="BH198" s="21"/>
      <c r="BI198" s="21"/>
      <c r="BJ198" s="21"/>
      <c r="BK198" s="21"/>
      <c r="BL198" s="21"/>
      <c r="BM198" s="21"/>
      <c r="BN198" s="21"/>
      <c r="BO198" s="21"/>
      <c r="BP198" s="21"/>
      <c r="BQ198" s="21"/>
      <c r="BR198" s="21"/>
      <c r="BS198" s="21"/>
      <c r="BT198" s="21"/>
      <c r="BU198" s="21"/>
      <c r="BV198" s="21"/>
      <c r="BW198" s="21"/>
      <c r="BX198" s="21"/>
      <c r="BY198" s="21"/>
      <c r="BZ198" s="21"/>
      <c r="CA198" s="21"/>
      <c r="CB198" s="21"/>
      <c r="CC198" s="21"/>
      <c r="CD198" s="21"/>
      <c r="CE198" s="21"/>
      <c r="CF198" s="21"/>
      <c r="CG198" s="21"/>
      <c r="CH198" s="21"/>
      <c r="CI198" s="21"/>
      <c r="CJ198" s="21"/>
    </row>
    <row r="199" spans="1:88" s="22" customFormat="1" ht="23.25" customHeight="1" outlineLevel="1" x14ac:dyDescent="0.2">
      <c r="A199" s="29"/>
      <c r="B199" s="81"/>
      <c r="C199" s="82"/>
      <c r="D199" s="89"/>
      <c r="E199" s="91"/>
      <c r="F199" s="92"/>
      <c r="G199" s="93"/>
      <c r="H199" s="45"/>
      <c r="I199" s="41"/>
      <c r="J199" s="214"/>
      <c r="K199" s="37"/>
      <c r="L199" s="38"/>
      <c r="M199" s="38"/>
      <c r="N199" s="37"/>
      <c r="O199" s="39"/>
      <c r="P199" s="53"/>
      <c r="Q199" s="55"/>
      <c r="R199" s="137" t="s">
        <v>600</v>
      </c>
      <c r="S199" s="136" t="s">
        <v>600</v>
      </c>
      <c r="T199" s="136" t="s">
        <v>17</v>
      </c>
      <c r="U199" s="136" t="s">
        <v>17</v>
      </c>
      <c r="V199" s="136"/>
      <c r="W199" s="136"/>
      <c r="X199" s="263"/>
      <c r="Y199" s="1" t="str">
        <f t="shared" si="2"/>
        <v>_</v>
      </c>
      <c r="Z199" s="1" t="str">
        <f t="shared" si="3"/>
        <v>_</v>
      </c>
      <c r="AA199" s="21"/>
      <c r="AB199" s="21"/>
      <c r="AC199" s="21"/>
      <c r="AD199" s="21"/>
      <c r="AE199" s="21"/>
      <c r="AF199" s="21"/>
      <c r="AG199" s="21"/>
      <c r="AH199" s="21"/>
      <c r="AI199" s="21"/>
      <c r="AJ199" s="21"/>
      <c r="AK199" s="21"/>
      <c r="AL199" s="21"/>
      <c r="AM199" s="21"/>
      <c r="AN199" s="21"/>
      <c r="AO199" s="21"/>
      <c r="AP199" s="21"/>
      <c r="AQ199" s="21"/>
      <c r="AR199" s="21"/>
      <c r="AS199" s="21"/>
      <c r="AT199" s="21"/>
      <c r="AU199" s="21"/>
      <c r="AV199" s="21"/>
      <c r="AW199" s="21"/>
      <c r="AX199" s="21"/>
      <c r="AY199" s="21"/>
      <c r="AZ199" s="21"/>
      <c r="BA199" s="21"/>
      <c r="BB199" s="21"/>
      <c r="BC199" s="21"/>
      <c r="BD199" s="21"/>
      <c r="BE199" s="21"/>
      <c r="BF199" s="21"/>
      <c r="BG199" s="21"/>
      <c r="BH199" s="21"/>
      <c r="BI199" s="21"/>
      <c r="BJ199" s="21"/>
      <c r="BK199" s="21"/>
      <c r="BL199" s="21"/>
      <c r="BM199" s="21"/>
      <c r="BN199" s="21"/>
      <c r="BO199" s="21"/>
      <c r="BP199" s="21"/>
      <c r="BQ199" s="21"/>
      <c r="BR199" s="21"/>
      <c r="BS199" s="21"/>
      <c r="BT199" s="21"/>
      <c r="BU199" s="21"/>
      <c r="BV199" s="21"/>
      <c r="BW199" s="21"/>
      <c r="BX199" s="21"/>
      <c r="BY199" s="21"/>
      <c r="BZ199" s="21"/>
      <c r="CA199" s="21"/>
      <c r="CB199" s="21"/>
      <c r="CC199" s="21"/>
      <c r="CD199" s="21"/>
      <c r="CE199" s="21"/>
      <c r="CF199" s="21"/>
      <c r="CG199" s="21"/>
      <c r="CH199" s="21"/>
      <c r="CI199" s="21"/>
      <c r="CJ199" s="21"/>
    </row>
    <row r="200" spans="1:88" s="22" customFormat="1" ht="23.25" customHeight="1" outlineLevel="1" x14ac:dyDescent="0.2">
      <c r="A200" s="29"/>
      <c r="B200" s="81"/>
      <c r="C200" s="82"/>
      <c r="D200" s="89"/>
      <c r="E200" s="91"/>
      <c r="F200" s="92"/>
      <c r="G200" s="93"/>
      <c r="H200" s="45"/>
      <c r="I200" s="41"/>
      <c r="J200" s="214"/>
      <c r="K200" s="37"/>
      <c r="L200" s="38"/>
      <c r="M200" s="38"/>
      <c r="N200" s="37"/>
      <c r="O200" s="39"/>
      <c r="P200" s="53"/>
      <c r="Q200" s="55"/>
      <c r="R200" s="137" t="s">
        <v>600</v>
      </c>
      <c r="S200" s="136" t="s">
        <v>600</v>
      </c>
      <c r="T200" s="136" t="s">
        <v>17</v>
      </c>
      <c r="U200" s="136" t="s">
        <v>17</v>
      </c>
      <c r="V200" s="136"/>
      <c r="W200" s="136"/>
      <c r="X200" s="263"/>
      <c r="Y200" s="1" t="str">
        <f t="shared" si="2"/>
        <v>_</v>
      </c>
      <c r="Z200" s="1" t="str">
        <f t="shared" si="3"/>
        <v>_</v>
      </c>
      <c r="AA200" s="21"/>
      <c r="AB200" s="21"/>
      <c r="AC200" s="21"/>
      <c r="AD200" s="21"/>
      <c r="AE200" s="21"/>
      <c r="AF200" s="21"/>
      <c r="AG200" s="21"/>
      <c r="AH200" s="21"/>
      <c r="AI200" s="21"/>
      <c r="AJ200" s="21"/>
      <c r="AK200" s="21"/>
      <c r="AL200" s="21"/>
      <c r="AM200" s="21"/>
      <c r="AN200" s="21"/>
      <c r="AO200" s="21"/>
      <c r="AP200" s="21"/>
      <c r="AQ200" s="21"/>
      <c r="AR200" s="21"/>
      <c r="AS200" s="21"/>
      <c r="AT200" s="21"/>
      <c r="AU200" s="21"/>
      <c r="AV200" s="21"/>
      <c r="AW200" s="21"/>
      <c r="AX200" s="21"/>
      <c r="AY200" s="21"/>
      <c r="AZ200" s="21"/>
      <c r="BA200" s="21"/>
      <c r="BB200" s="21"/>
      <c r="BC200" s="21"/>
      <c r="BD200" s="21"/>
      <c r="BE200" s="21"/>
      <c r="BF200" s="21"/>
      <c r="BG200" s="21"/>
      <c r="BH200" s="21"/>
      <c r="BI200" s="21"/>
      <c r="BJ200" s="21"/>
      <c r="BK200" s="21"/>
      <c r="BL200" s="21"/>
      <c r="BM200" s="21"/>
      <c r="BN200" s="21"/>
      <c r="BO200" s="21"/>
      <c r="BP200" s="21"/>
      <c r="BQ200" s="21"/>
      <c r="BR200" s="21"/>
      <c r="BS200" s="21"/>
      <c r="BT200" s="21"/>
      <c r="BU200" s="21"/>
      <c r="BV200" s="21"/>
      <c r="BW200" s="21"/>
      <c r="BX200" s="21"/>
      <c r="BY200" s="21"/>
      <c r="BZ200" s="21"/>
      <c r="CA200" s="21"/>
      <c r="CB200" s="21"/>
      <c r="CC200" s="21"/>
      <c r="CD200" s="21"/>
      <c r="CE200" s="21"/>
      <c r="CF200" s="21"/>
      <c r="CG200" s="21"/>
      <c r="CH200" s="21"/>
      <c r="CI200" s="21"/>
      <c r="CJ200" s="21"/>
    </row>
    <row r="201" spans="1:88" s="22" customFormat="1" ht="23.25" customHeight="1" outlineLevel="1" x14ac:dyDescent="0.2">
      <c r="A201" s="29"/>
      <c r="B201" s="81"/>
      <c r="C201" s="82"/>
      <c r="D201" s="89"/>
      <c r="E201" s="91"/>
      <c r="F201" s="92"/>
      <c r="G201" s="93"/>
      <c r="H201" s="45"/>
      <c r="I201" s="41"/>
      <c r="J201" s="214"/>
      <c r="K201" s="37"/>
      <c r="L201" s="38"/>
      <c r="M201" s="38"/>
      <c r="N201" s="37"/>
      <c r="O201" s="39"/>
      <c r="P201" s="53"/>
      <c r="Q201" s="55"/>
      <c r="R201" s="137" t="s">
        <v>600</v>
      </c>
      <c r="S201" s="136" t="s">
        <v>600</v>
      </c>
      <c r="T201" s="136" t="s">
        <v>17</v>
      </c>
      <c r="U201" s="136" t="s">
        <v>17</v>
      </c>
      <c r="V201" s="136"/>
      <c r="W201" s="136"/>
      <c r="X201" s="263"/>
      <c r="Y201" s="1" t="str">
        <f t="shared" si="2"/>
        <v>_</v>
      </c>
      <c r="Z201" s="1" t="str">
        <f t="shared" si="3"/>
        <v>_</v>
      </c>
      <c r="AA201" s="21"/>
      <c r="AB201" s="21"/>
      <c r="AC201" s="21"/>
      <c r="AD201" s="21"/>
      <c r="AE201" s="21"/>
      <c r="AF201" s="21"/>
      <c r="AG201" s="21"/>
      <c r="AH201" s="21"/>
      <c r="AI201" s="21"/>
      <c r="AJ201" s="21"/>
      <c r="AK201" s="21"/>
      <c r="AL201" s="21"/>
      <c r="AM201" s="21"/>
      <c r="AN201" s="21"/>
      <c r="AO201" s="21"/>
      <c r="AP201" s="21"/>
      <c r="AQ201" s="21"/>
      <c r="AR201" s="21"/>
      <c r="AS201" s="21"/>
      <c r="AT201" s="21"/>
      <c r="AU201" s="21"/>
      <c r="AV201" s="21"/>
      <c r="AW201" s="21"/>
      <c r="AX201" s="21"/>
      <c r="AY201" s="21"/>
      <c r="AZ201" s="21"/>
      <c r="BA201" s="21"/>
      <c r="BB201" s="21"/>
      <c r="BC201" s="21"/>
      <c r="BD201" s="21"/>
      <c r="BE201" s="21"/>
      <c r="BF201" s="21"/>
      <c r="BG201" s="21"/>
      <c r="BH201" s="21"/>
      <c r="BI201" s="21"/>
      <c r="BJ201" s="21"/>
      <c r="BK201" s="21"/>
      <c r="BL201" s="21"/>
      <c r="BM201" s="21"/>
      <c r="BN201" s="21"/>
      <c r="BO201" s="21"/>
      <c r="BP201" s="21"/>
      <c r="BQ201" s="21"/>
      <c r="BR201" s="21"/>
      <c r="BS201" s="21"/>
      <c r="BT201" s="21"/>
      <c r="BU201" s="21"/>
      <c r="BV201" s="21"/>
      <c r="BW201" s="21"/>
      <c r="BX201" s="21"/>
      <c r="BY201" s="21"/>
      <c r="BZ201" s="21"/>
      <c r="CA201" s="21"/>
      <c r="CB201" s="21"/>
      <c r="CC201" s="21"/>
      <c r="CD201" s="21"/>
      <c r="CE201" s="21"/>
      <c r="CF201" s="21"/>
      <c r="CG201" s="21"/>
      <c r="CH201" s="21"/>
      <c r="CI201" s="21"/>
      <c r="CJ201" s="21"/>
    </row>
    <row r="202" spans="1:88" s="22" customFormat="1" ht="23.25" customHeight="1" outlineLevel="1" x14ac:dyDescent="0.2">
      <c r="A202" s="29"/>
      <c r="B202" s="81"/>
      <c r="C202" s="82"/>
      <c r="D202" s="89"/>
      <c r="E202" s="91"/>
      <c r="F202" s="92"/>
      <c r="G202" s="93"/>
      <c r="H202" s="45"/>
      <c r="I202" s="41"/>
      <c r="J202" s="214"/>
      <c r="K202" s="37"/>
      <c r="L202" s="38"/>
      <c r="M202" s="38"/>
      <c r="N202" s="37"/>
      <c r="O202" s="39"/>
      <c r="P202" s="53"/>
      <c r="Q202" s="55"/>
      <c r="R202" s="137" t="s">
        <v>600</v>
      </c>
      <c r="S202" s="136" t="s">
        <v>600</v>
      </c>
      <c r="T202" s="136" t="s">
        <v>17</v>
      </c>
      <c r="U202" s="136" t="s">
        <v>17</v>
      </c>
      <c r="V202" s="136"/>
      <c r="W202" s="136"/>
      <c r="X202" s="263"/>
      <c r="Y202" s="1" t="str">
        <f t="shared" si="2"/>
        <v>_</v>
      </c>
      <c r="Z202" s="1" t="str">
        <f t="shared" si="3"/>
        <v>_</v>
      </c>
      <c r="AA202" s="21"/>
      <c r="AB202" s="21"/>
      <c r="AC202" s="21"/>
      <c r="AD202" s="21"/>
      <c r="AE202" s="21"/>
      <c r="AF202" s="21"/>
      <c r="AG202" s="21"/>
      <c r="AH202" s="21"/>
      <c r="AI202" s="21"/>
      <c r="AJ202" s="21"/>
      <c r="AK202" s="21"/>
      <c r="AL202" s="21"/>
      <c r="AM202" s="21"/>
      <c r="AN202" s="21"/>
      <c r="AO202" s="21"/>
      <c r="AP202" s="21"/>
      <c r="AQ202" s="21"/>
      <c r="AR202" s="21"/>
      <c r="AS202" s="21"/>
      <c r="AT202" s="21"/>
      <c r="AU202" s="21"/>
      <c r="AV202" s="21"/>
      <c r="AW202" s="21"/>
      <c r="AX202" s="21"/>
      <c r="AY202" s="21"/>
      <c r="AZ202" s="21"/>
      <c r="BA202" s="21"/>
      <c r="BB202" s="21"/>
      <c r="BC202" s="21"/>
      <c r="BD202" s="21"/>
      <c r="BE202" s="21"/>
      <c r="BF202" s="21"/>
      <c r="BG202" s="21"/>
      <c r="BH202" s="21"/>
      <c r="BI202" s="21"/>
      <c r="BJ202" s="21"/>
      <c r="BK202" s="21"/>
      <c r="BL202" s="21"/>
      <c r="BM202" s="21"/>
      <c r="BN202" s="21"/>
      <c r="BO202" s="21"/>
      <c r="BP202" s="21"/>
      <c r="BQ202" s="21"/>
      <c r="BR202" s="21"/>
      <c r="BS202" s="21"/>
      <c r="BT202" s="21"/>
      <c r="BU202" s="21"/>
      <c r="BV202" s="21"/>
      <c r="BW202" s="21"/>
      <c r="BX202" s="21"/>
      <c r="BY202" s="21"/>
      <c r="BZ202" s="21"/>
      <c r="CA202" s="21"/>
      <c r="CB202" s="21"/>
      <c r="CC202" s="21"/>
      <c r="CD202" s="21"/>
      <c r="CE202" s="21"/>
      <c r="CF202" s="21"/>
      <c r="CG202" s="21"/>
      <c r="CH202" s="21"/>
      <c r="CI202" s="21"/>
      <c r="CJ202" s="21"/>
    </row>
    <row r="203" spans="1:88" s="22" customFormat="1" ht="23.25" customHeight="1" outlineLevel="1" x14ac:dyDescent="0.2">
      <c r="A203" s="29"/>
      <c r="B203" s="81"/>
      <c r="C203" s="82"/>
      <c r="D203" s="89"/>
      <c r="E203" s="91"/>
      <c r="F203" s="92"/>
      <c r="G203" s="93"/>
      <c r="H203" s="45"/>
      <c r="I203" s="41"/>
      <c r="J203" s="214"/>
      <c r="K203" s="37"/>
      <c r="L203" s="38"/>
      <c r="M203" s="38"/>
      <c r="N203" s="37"/>
      <c r="O203" s="39"/>
      <c r="P203" s="53"/>
      <c r="Q203" s="55"/>
      <c r="R203" s="137" t="s">
        <v>600</v>
      </c>
      <c r="S203" s="136" t="s">
        <v>600</v>
      </c>
      <c r="T203" s="136" t="s">
        <v>17</v>
      </c>
      <c r="U203" s="136" t="s">
        <v>17</v>
      </c>
      <c r="V203" s="136"/>
      <c r="W203" s="136"/>
      <c r="X203" s="263"/>
      <c r="Y203" s="1" t="str">
        <f t="shared" si="2"/>
        <v>_</v>
      </c>
      <c r="Z203" s="1" t="str">
        <f t="shared" si="3"/>
        <v>_</v>
      </c>
      <c r="AA203" s="21"/>
      <c r="AB203" s="21"/>
      <c r="AC203" s="21"/>
      <c r="AD203" s="21"/>
      <c r="AE203" s="21"/>
      <c r="AF203" s="21"/>
      <c r="AG203" s="21"/>
      <c r="AH203" s="21"/>
      <c r="AI203" s="21"/>
      <c r="AJ203" s="21"/>
      <c r="AK203" s="21"/>
      <c r="AL203" s="21"/>
      <c r="AM203" s="21"/>
      <c r="AN203" s="21"/>
      <c r="AO203" s="21"/>
      <c r="AP203" s="21"/>
      <c r="AQ203" s="21"/>
      <c r="AR203" s="21"/>
      <c r="AS203" s="21"/>
      <c r="AT203" s="21"/>
      <c r="AU203" s="21"/>
      <c r="AV203" s="21"/>
      <c r="AW203" s="21"/>
      <c r="AX203" s="21"/>
      <c r="AY203" s="21"/>
      <c r="AZ203" s="21"/>
      <c r="BA203" s="21"/>
      <c r="BB203" s="21"/>
      <c r="BC203" s="21"/>
      <c r="BD203" s="21"/>
      <c r="BE203" s="21"/>
      <c r="BF203" s="21"/>
      <c r="BG203" s="21"/>
      <c r="BH203" s="21"/>
      <c r="BI203" s="21"/>
      <c r="BJ203" s="21"/>
      <c r="BK203" s="21"/>
      <c r="BL203" s="21"/>
      <c r="BM203" s="21"/>
      <c r="BN203" s="21"/>
      <c r="BO203" s="21"/>
      <c r="BP203" s="21"/>
      <c r="BQ203" s="21"/>
      <c r="BR203" s="21"/>
      <c r="BS203" s="21"/>
      <c r="BT203" s="21"/>
      <c r="BU203" s="21"/>
      <c r="BV203" s="21"/>
      <c r="BW203" s="21"/>
      <c r="BX203" s="21"/>
      <c r="BY203" s="21"/>
      <c r="BZ203" s="21"/>
      <c r="CA203" s="21"/>
      <c r="CB203" s="21"/>
      <c r="CC203" s="21"/>
      <c r="CD203" s="21"/>
      <c r="CE203" s="21"/>
      <c r="CF203" s="21"/>
      <c r="CG203" s="21"/>
      <c r="CH203" s="21"/>
      <c r="CI203" s="21"/>
      <c r="CJ203" s="21"/>
    </row>
    <row r="204" spans="1:88" s="22" customFormat="1" ht="23.25" customHeight="1" outlineLevel="1" x14ac:dyDescent="0.2">
      <c r="A204" s="29"/>
      <c r="B204" s="81"/>
      <c r="C204" s="82"/>
      <c r="D204" s="89"/>
      <c r="E204" s="91"/>
      <c r="F204" s="92"/>
      <c r="G204" s="93"/>
      <c r="H204" s="45"/>
      <c r="I204" s="41"/>
      <c r="J204" s="214"/>
      <c r="K204" s="37"/>
      <c r="L204" s="38"/>
      <c r="M204" s="38"/>
      <c r="N204" s="37"/>
      <c r="O204" s="39"/>
      <c r="P204" s="53"/>
      <c r="Q204" s="55"/>
      <c r="R204" s="137" t="s">
        <v>600</v>
      </c>
      <c r="S204" s="136" t="s">
        <v>600</v>
      </c>
      <c r="T204" s="136" t="s">
        <v>17</v>
      </c>
      <c r="U204" s="136" t="s">
        <v>17</v>
      </c>
      <c r="V204" s="136"/>
      <c r="W204" s="136"/>
      <c r="X204" s="263"/>
      <c r="Y204" s="1" t="str">
        <f t="shared" si="2"/>
        <v>_</v>
      </c>
      <c r="Z204" s="1" t="str">
        <f t="shared" si="3"/>
        <v>_</v>
      </c>
      <c r="AA204" s="21"/>
      <c r="AB204" s="21"/>
      <c r="AC204" s="21"/>
      <c r="AD204" s="21"/>
      <c r="AE204" s="21"/>
      <c r="AF204" s="21"/>
      <c r="AG204" s="21"/>
      <c r="AH204" s="21"/>
      <c r="AI204" s="21"/>
      <c r="AJ204" s="21"/>
      <c r="AK204" s="21"/>
      <c r="AL204" s="21"/>
      <c r="AM204" s="21"/>
      <c r="AN204" s="21"/>
      <c r="AO204" s="21"/>
      <c r="AP204" s="21"/>
      <c r="AQ204" s="21"/>
      <c r="AR204" s="21"/>
      <c r="AS204" s="21"/>
      <c r="AT204" s="21"/>
      <c r="AU204" s="21"/>
      <c r="AV204" s="21"/>
      <c r="AW204" s="21"/>
      <c r="AX204" s="21"/>
      <c r="AY204" s="21"/>
      <c r="AZ204" s="21"/>
      <c r="BA204" s="21"/>
      <c r="BB204" s="21"/>
      <c r="BC204" s="21"/>
      <c r="BD204" s="21"/>
      <c r="BE204" s="21"/>
      <c r="BF204" s="21"/>
      <c r="BG204" s="21"/>
      <c r="BH204" s="21"/>
      <c r="BI204" s="21"/>
      <c r="BJ204" s="21"/>
      <c r="BK204" s="21"/>
      <c r="BL204" s="21"/>
      <c r="BM204" s="21"/>
      <c r="BN204" s="21"/>
      <c r="BO204" s="21"/>
      <c r="BP204" s="21"/>
      <c r="BQ204" s="21"/>
      <c r="BR204" s="21"/>
      <c r="BS204" s="21"/>
      <c r="BT204" s="21"/>
      <c r="BU204" s="21"/>
      <c r="BV204" s="21"/>
      <c r="BW204" s="21"/>
      <c r="BX204" s="21"/>
      <c r="BY204" s="21"/>
      <c r="BZ204" s="21"/>
      <c r="CA204" s="21"/>
      <c r="CB204" s="21"/>
      <c r="CC204" s="21"/>
      <c r="CD204" s="21"/>
      <c r="CE204" s="21"/>
      <c r="CF204" s="21"/>
      <c r="CG204" s="21"/>
      <c r="CH204" s="21"/>
      <c r="CI204" s="21"/>
      <c r="CJ204" s="21"/>
    </row>
    <row r="205" spans="1:88" s="22" customFormat="1" ht="23.25" customHeight="1" outlineLevel="1" x14ac:dyDescent="0.2">
      <c r="A205" s="29"/>
      <c r="B205" s="81"/>
      <c r="C205" s="82"/>
      <c r="D205" s="89"/>
      <c r="E205" s="91"/>
      <c r="F205" s="92"/>
      <c r="G205" s="93"/>
      <c r="H205" s="45"/>
      <c r="I205" s="41"/>
      <c r="J205" s="214"/>
      <c r="K205" s="37"/>
      <c r="L205" s="38"/>
      <c r="M205" s="38"/>
      <c r="N205" s="37"/>
      <c r="O205" s="39"/>
      <c r="P205" s="53"/>
      <c r="Q205" s="55"/>
      <c r="R205" s="137" t="s">
        <v>600</v>
      </c>
      <c r="S205" s="136" t="s">
        <v>600</v>
      </c>
      <c r="T205" s="136" t="s">
        <v>17</v>
      </c>
      <c r="U205" s="136" t="s">
        <v>17</v>
      </c>
      <c r="V205" s="136"/>
      <c r="W205" s="136"/>
      <c r="X205" s="263"/>
      <c r="Y205" s="1" t="str">
        <f t="shared" si="2"/>
        <v>_</v>
      </c>
      <c r="Z205" s="1" t="str">
        <f t="shared" si="3"/>
        <v>_</v>
      </c>
      <c r="AA205" s="21"/>
      <c r="AB205" s="21"/>
      <c r="AC205" s="21"/>
      <c r="AD205" s="21"/>
      <c r="AE205" s="21"/>
      <c r="AF205" s="21"/>
      <c r="AG205" s="21"/>
      <c r="AH205" s="21"/>
      <c r="AI205" s="21"/>
      <c r="AJ205" s="21"/>
      <c r="AK205" s="21"/>
      <c r="AL205" s="21"/>
      <c r="AM205" s="21"/>
      <c r="AN205" s="21"/>
      <c r="AO205" s="21"/>
      <c r="AP205" s="21"/>
      <c r="AQ205" s="21"/>
      <c r="AR205" s="21"/>
      <c r="AS205" s="21"/>
      <c r="AT205" s="21"/>
      <c r="AU205" s="21"/>
      <c r="AV205" s="21"/>
      <c r="AW205" s="21"/>
      <c r="AX205" s="21"/>
      <c r="AY205" s="21"/>
      <c r="AZ205" s="21"/>
      <c r="BA205" s="21"/>
      <c r="BB205" s="21"/>
      <c r="BC205" s="21"/>
      <c r="BD205" s="21"/>
      <c r="BE205" s="21"/>
      <c r="BF205" s="21"/>
      <c r="BG205" s="21"/>
      <c r="BH205" s="21"/>
      <c r="BI205" s="21"/>
      <c r="BJ205" s="21"/>
      <c r="BK205" s="21"/>
      <c r="BL205" s="21"/>
      <c r="BM205" s="21"/>
      <c r="BN205" s="21"/>
      <c r="BO205" s="21"/>
      <c r="BP205" s="21"/>
      <c r="BQ205" s="21"/>
      <c r="BR205" s="21"/>
      <c r="BS205" s="21"/>
      <c r="BT205" s="21"/>
      <c r="BU205" s="21"/>
      <c r="BV205" s="21"/>
      <c r="BW205" s="21"/>
      <c r="BX205" s="21"/>
      <c r="BY205" s="21"/>
      <c r="BZ205" s="21"/>
      <c r="CA205" s="21"/>
      <c r="CB205" s="21"/>
      <c r="CC205" s="21"/>
      <c r="CD205" s="21"/>
      <c r="CE205" s="21"/>
      <c r="CF205" s="21"/>
      <c r="CG205" s="21"/>
      <c r="CH205" s="21"/>
      <c r="CI205" s="21"/>
      <c r="CJ205" s="21"/>
    </row>
    <row r="206" spans="1:88" s="22" customFormat="1" ht="23.25" customHeight="1" outlineLevel="1" x14ac:dyDescent="0.2">
      <c r="A206" s="29"/>
      <c r="B206" s="81"/>
      <c r="C206" s="82"/>
      <c r="D206" s="89"/>
      <c r="E206" s="91"/>
      <c r="F206" s="92"/>
      <c r="G206" s="93"/>
      <c r="H206" s="45"/>
      <c r="I206" s="41"/>
      <c r="J206" s="214"/>
      <c r="K206" s="37"/>
      <c r="L206" s="38"/>
      <c r="M206" s="38"/>
      <c r="N206" s="37"/>
      <c r="O206" s="39"/>
      <c r="P206" s="53"/>
      <c r="Q206" s="55"/>
      <c r="R206" s="137" t="s">
        <v>600</v>
      </c>
      <c r="S206" s="136" t="s">
        <v>600</v>
      </c>
      <c r="T206" s="136" t="s">
        <v>17</v>
      </c>
      <c r="U206" s="136" t="s">
        <v>17</v>
      </c>
      <c r="V206" s="136"/>
      <c r="W206" s="136"/>
      <c r="X206" s="263"/>
      <c r="Y206" s="1" t="str">
        <f t="shared" si="2"/>
        <v>_</v>
      </c>
      <c r="Z206" s="1" t="str">
        <f t="shared" si="3"/>
        <v>_</v>
      </c>
      <c r="AA206" s="21"/>
      <c r="AB206" s="21"/>
      <c r="AC206" s="21"/>
      <c r="AD206" s="21"/>
      <c r="AE206" s="21"/>
      <c r="AF206" s="21"/>
      <c r="AG206" s="21"/>
      <c r="AH206" s="21"/>
      <c r="AI206" s="21"/>
      <c r="AJ206" s="21"/>
      <c r="AK206" s="21"/>
      <c r="AL206" s="21"/>
      <c r="AM206" s="21"/>
      <c r="AN206" s="21"/>
      <c r="AO206" s="21"/>
      <c r="AP206" s="21"/>
      <c r="AQ206" s="21"/>
      <c r="AR206" s="21"/>
      <c r="AS206" s="21"/>
      <c r="AT206" s="21"/>
      <c r="AU206" s="21"/>
      <c r="AV206" s="21"/>
      <c r="AW206" s="21"/>
      <c r="AX206" s="21"/>
      <c r="AY206" s="21"/>
      <c r="AZ206" s="21"/>
      <c r="BA206" s="21"/>
      <c r="BB206" s="21"/>
      <c r="BC206" s="21"/>
      <c r="BD206" s="21"/>
      <c r="BE206" s="21"/>
      <c r="BF206" s="21"/>
      <c r="BG206" s="21"/>
      <c r="BH206" s="21"/>
      <c r="BI206" s="21"/>
      <c r="BJ206" s="21"/>
      <c r="BK206" s="21"/>
      <c r="BL206" s="21"/>
      <c r="BM206" s="21"/>
      <c r="BN206" s="21"/>
      <c r="BO206" s="21"/>
      <c r="BP206" s="21"/>
      <c r="BQ206" s="21"/>
      <c r="BR206" s="21"/>
      <c r="BS206" s="21"/>
      <c r="BT206" s="21"/>
      <c r="BU206" s="21"/>
      <c r="BV206" s="21"/>
      <c r="BW206" s="21"/>
      <c r="BX206" s="21"/>
      <c r="BY206" s="21"/>
      <c r="BZ206" s="21"/>
      <c r="CA206" s="21"/>
      <c r="CB206" s="21"/>
      <c r="CC206" s="21"/>
      <c r="CD206" s="21"/>
      <c r="CE206" s="21"/>
      <c r="CF206" s="21"/>
      <c r="CG206" s="21"/>
      <c r="CH206" s="21"/>
      <c r="CI206" s="21"/>
      <c r="CJ206" s="21"/>
    </row>
    <row r="207" spans="1:88" s="22" customFormat="1" ht="23.25" customHeight="1" outlineLevel="1" x14ac:dyDescent="0.2">
      <c r="A207" s="29"/>
      <c r="B207" s="81"/>
      <c r="C207" s="82"/>
      <c r="D207" s="89"/>
      <c r="E207" s="91"/>
      <c r="F207" s="92"/>
      <c r="G207" s="93"/>
      <c r="H207" s="45"/>
      <c r="I207" s="41"/>
      <c r="J207" s="214"/>
      <c r="K207" s="37"/>
      <c r="L207" s="38"/>
      <c r="M207" s="38"/>
      <c r="N207" s="37"/>
      <c r="O207" s="39"/>
      <c r="P207" s="53"/>
      <c r="Q207" s="55"/>
      <c r="R207" s="137" t="s">
        <v>600</v>
      </c>
      <c r="S207" s="136" t="s">
        <v>600</v>
      </c>
      <c r="T207" s="136" t="s">
        <v>17</v>
      </c>
      <c r="U207" s="136" t="s">
        <v>17</v>
      </c>
      <c r="V207" s="136"/>
      <c r="W207" s="136"/>
      <c r="X207" s="263"/>
      <c r="Y207" s="1" t="str">
        <f t="shared" si="2"/>
        <v>_</v>
      </c>
      <c r="Z207" s="1" t="str">
        <f t="shared" si="3"/>
        <v>_</v>
      </c>
      <c r="AA207" s="21"/>
      <c r="AB207" s="21"/>
      <c r="AC207" s="21"/>
      <c r="AD207" s="21"/>
      <c r="AE207" s="21"/>
      <c r="AF207" s="21"/>
      <c r="AG207" s="21"/>
      <c r="AH207" s="21"/>
      <c r="AI207" s="21"/>
      <c r="AJ207" s="21"/>
      <c r="AK207" s="21"/>
      <c r="AL207" s="21"/>
      <c r="AM207" s="21"/>
      <c r="AN207" s="21"/>
      <c r="AO207" s="21"/>
      <c r="AP207" s="21"/>
      <c r="AQ207" s="21"/>
      <c r="AR207" s="21"/>
      <c r="AS207" s="21"/>
      <c r="AT207" s="21"/>
      <c r="AU207" s="21"/>
      <c r="AV207" s="21"/>
      <c r="AW207" s="21"/>
      <c r="AX207" s="21"/>
      <c r="AY207" s="21"/>
      <c r="AZ207" s="21"/>
      <c r="BA207" s="21"/>
      <c r="BB207" s="21"/>
      <c r="BC207" s="21"/>
      <c r="BD207" s="21"/>
      <c r="BE207" s="21"/>
      <c r="BF207" s="21"/>
      <c r="BG207" s="21"/>
      <c r="BH207" s="21"/>
      <c r="BI207" s="21"/>
      <c r="BJ207" s="21"/>
      <c r="BK207" s="21"/>
      <c r="BL207" s="21"/>
      <c r="BM207" s="21"/>
      <c r="BN207" s="21"/>
      <c r="BO207" s="21"/>
      <c r="BP207" s="21"/>
      <c r="BQ207" s="21"/>
      <c r="BR207" s="21"/>
      <c r="BS207" s="21"/>
      <c r="BT207" s="21"/>
      <c r="BU207" s="21"/>
      <c r="BV207" s="21"/>
      <c r="BW207" s="21"/>
      <c r="BX207" s="21"/>
      <c r="BY207" s="21"/>
      <c r="BZ207" s="21"/>
      <c r="CA207" s="21"/>
      <c r="CB207" s="21"/>
      <c r="CC207" s="21"/>
      <c r="CD207" s="21"/>
      <c r="CE207" s="21"/>
      <c r="CF207" s="21"/>
      <c r="CG207" s="21"/>
      <c r="CH207" s="21"/>
      <c r="CI207" s="21"/>
      <c r="CJ207" s="21"/>
    </row>
    <row r="208" spans="1:88" s="22" customFormat="1" ht="23.25" customHeight="1" outlineLevel="1" x14ac:dyDescent="0.2">
      <c r="A208" s="29"/>
      <c r="B208" s="81"/>
      <c r="C208" s="82"/>
      <c r="D208" s="89"/>
      <c r="E208" s="91"/>
      <c r="F208" s="92"/>
      <c r="G208" s="93"/>
      <c r="H208" s="45"/>
      <c r="I208" s="41"/>
      <c r="J208" s="214"/>
      <c r="K208" s="37"/>
      <c r="L208" s="38"/>
      <c r="M208" s="38"/>
      <c r="N208" s="37"/>
      <c r="O208" s="39"/>
      <c r="P208" s="53"/>
      <c r="Q208" s="55"/>
      <c r="R208" s="137" t="s">
        <v>600</v>
      </c>
      <c r="S208" s="136" t="s">
        <v>600</v>
      </c>
      <c r="T208" s="136" t="s">
        <v>17</v>
      </c>
      <c r="U208" s="136" t="s">
        <v>17</v>
      </c>
      <c r="V208" s="136"/>
      <c r="W208" s="136"/>
      <c r="X208" s="263"/>
      <c r="Y208" s="1" t="str">
        <f t="shared" si="2"/>
        <v>_</v>
      </c>
      <c r="Z208" s="1" t="str">
        <f t="shared" si="3"/>
        <v>_</v>
      </c>
      <c r="AA208" s="21"/>
      <c r="AB208" s="21"/>
      <c r="AC208" s="21"/>
      <c r="AD208" s="21"/>
      <c r="AE208" s="21"/>
      <c r="AF208" s="21"/>
      <c r="AG208" s="21"/>
      <c r="AH208" s="21"/>
      <c r="AI208" s="21"/>
      <c r="AJ208" s="21"/>
      <c r="AK208" s="21"/>
      <c r="AL208" s="21"/>
      <c r="AM208" s="21"/>
      <c r="AN208" s="21"/>
      <c r="AO208" s="21"/>
      <c r="AP208" s="21"/>
      <c r="AQ208" s="21"/>
      <c r="AR208" s="21"/>
      <c r="AS208" s="21"/>
      <c r="AT208" s="21"/>
      <c r="AU208" s="21"/>
      <c r="AV208" s="21"/>
      <c r="AW208" s="21"/>
      <c r="AX208" s="21"/>
      <c r="AY208" s="21"/>
      <c r="AZ208" s="21"/>
      <c r="BA208" s="21"/>
      <c r="BB208" s="21"/>
      <c r="BC208" s="21"/>
      <c r="BD208" s="21"/>
      <c r="BE208" s="21"/>
      <c r="BF208" s="21"/>
      <c r="BG208" s="21"/>
      <c r="BH208" s="21"/>
      <c r="BI208" s="21"/>
      <c r="BJ208" s="21"/>
      <c r="BK208" s="21"/>
      <c r="BL208" s="21"/>
      <c r="BM208" s="21"/>
      <c r="BN208" s="21"/>
      <c r="BO208" s="21"/>
      <c r="BP208" s="21"/>
      <c r="BQ208" s="21"/>
      <c r="BR208" s="21"/>
      <c r="BS208" s="21"/>
      <c r="BT208" s="21"/>
      <c r="BU208" s="21"/>
      <c r="BV208" s="21"/>
      <c r="BW208" s="21"/>
      <c r="BX208" s="21"/>
      <c r="BY208" s="21"/>
      <c r="BZ208" s="21"/>
      <c r="CA208" s="21"/>
      <c r="CB208" s="21"/>
      <c r="CC208" s="21"/>
      <c r="CD208" s="21"/>
      <c r="CE208" s="21"/>
      <c r="CF208" s="21"/>
      <c r="CG208" s="21"/>
      <c r="CH208" s="21"/>
      <c r="CI208" s="21"/>
      <c r="CJ208" s="21"/>
    </row>
    <row r="209" spans="1:88" s="22" customFormat="1" ht="23.25" customHeight="1" outlineLevel="1" x14ac:dyDescent="0.2">
      <c r="A209" s="29"/>
      <c r="B209" s="81"/>
      <c r="C209" s="82"/>
      <c r="D209" s="89"/>
      <c r="E209" s="91"/>
      <c r="F209" s="92"/>
      <c r="G209" s="93"/>
      <c r="H209" s="45"/>
      <c r="I209" s="41"/>
      <c r="J209" s="214"/>
      <c r="K209" s="37"/>
      <c r="L209" s="38"/>
      <c r="M209" s="38"/>
      <c r="N209" s="37"/>
      <c r="O209" s="39"/>
      <c r="P209" s="53"/>
      <c r="Q209" s="55"/>
      <c r="R209" s="137" t="s">
        <v>600</v>
      </c>
      <c r="S209" s="136" t="s">
        <v>600</v>
      </c>
      <c r="T209" s="136" t="s">
        <v>17</v>
      </c>
      <c r="U209" s="136" t="s">
        <v>17</v>
      </c>
      <c r="V209" s="136"/>
      <c r="W209" s="136"/>
      <c r="X209" s="263"/>
      <c r="Y209" s="1" t="str">
        <f t="shared" si="2"/>
        <v>_</v>
      </c>
      <c r="Z209" s="1" t="str">
        <f t="shared" si="3"/>
        <v>_</v>
      </c>
      <c r="AA209" s="21"/>
      <c r="AB209" s="21"/>
      <c r="AC209" s="21"/>
      <c r="AD209" s="21"/>
      <c r="AE209" s="21"/>
      <c r="AF209" s="21"/>
      <c r="AG209" s="21"/>
      <c r="AH209" s="21"/>
      <c r="AI209" s="21"/>
      <c r="AJ209" s="21"/>
      <c r="AK209" s="21"/>
      <c r="AL209" s="21"/>
      <c r="AM209" s="21"/>
      <c r="AN209" s="21"/>
      <c r="AO209" s="21"/>
      <c r="AP209" s="21"/>
      <c r="AQ209" s="21"/>
      <c r="AR209" s="21"/>
      <c r="AS209" s="21"/>
      <c r="AT209" s="21"/>
      <c r="AU209" s="21"/>
      <c r="AV209" s="21"/>
      <c r="AW209" s="21"/>
      <c r="AX209" s="21"/>
      <c r="AY209" s="21"/>
      <c r="AZ209" s="21"/>
      <c r="BA209" s="21"/>
      <c r="BB209" s="21"/>
      <c r="BC209" s="21"/>
      <c r="BD209" s="21"/>
      <c r="BE209" s="21"/>
      <c r="BF209" s="21"/>
      <c r="BG209" s="21"/>
      <c r="BH209" s="21"/>
      <c r="BI209" s="21"/>
      <c r="BJ209" s="21"/>
      <c r="BK209" s="21"/>
      <c r="BL209" s="21"/>
      <c r="BM209" s="21"/>
      <c r="BN209" s="21"/>
      <c r="BO209" s="21"/>
      <c r="BP209" s="21"/>
      <c r="BQ209" s="21"/>
      <c r="BR209" s="21"/>
      <c r="BS209" s="21"/>
      <c r="BT209" s="21"/>
      <c r="BU209" s="21"/>
      <c r="BV209" s="21"/>
      <c r="BW209" s="21"/>
      <c r="BX209" s="21"/>
      <c r="BY209" s="21"/>
      <c r="BZ209" s="21"/>
      <c r="CA209" s="21"/>
      <c r="CB209" s="21"/>
      <c r="CC209" s="21"/>
      <c r="CD209" s="21"/>
      <c r="CE209" s="21"/>
      <c r="CF209" s="21"/>
      <c r="CG209" s="21"/>
      <c r="CH209" s="21"/>
      <c r="CI209" s="21"/>
      <c r="CJ209" s="21"/>
    </row>
    <row r="210" spans="1:88" s="22" customFormat="1" ht="23.25" customHeight="1" outlineLevel="1" x14ac:dyDescent="0.2">
      <c r="A210" s="29"/>
      <c r="B210" s="81"/>
      <c r="C210" s="82"/>
      <c r="D210" s="89"/>
      <c r="E210" s="91"/>
      <c r="F210" s="92"/>
      <c r="G210" s="93"/>
      <c r="H210" s="45"/>
      <c r="I210" s="41"/>
      <c r="J210" s="214"/>
      <c r="K210" s="37"/>
      <c r="L210" s="38"/>
      <c r="M210" s="38"/>
      <c r="N210" s="37"/>
      <c r="O210" s="39"/>
      <c r="P210" s="53"/>
      <c r="Q210" s="55"/>
      <c r="R210" s="137" t="s">
        <v>600</v>
      </c>
      <c r="S210" s="136" t="s">
        <v>600</v>
      </c>
      <c r="T210" s="136" t="s">
        <v>17</v>
      </c>
      <c r="U210" s="136" t="s">
        <v>17</v>
      </c>
      <c r="V210" s="136"/>
      <c r="W210" s="136"/>
      <c r="X210" s="263"/>
      <c r="Y210" s="1" t="str">
        <f t="shared" si="2"/>
        <v>_</v>
      </c>
      <c r="Z210" s="1" t="str">
        <f t="shared" si="3"/>
        <v>_</v>
      </c>
      <c r="AA210" s="21"/>
      <c r="AB210" s="21"/>
      <c r="AC210" s="21"/>
      <c r="AD210" s="21"/>
      <c r="AE210" s="21"/>
      <c r="AF210" s="21"/>
      <c r="AG210" s="21"/>
      <c r="AH210" s="21"/>
      <c r="AI210" s="21"/>
      <c r="AJ210" s="21"/>
      <c r="AK210" s="21"/>
      <c r="AL210" s="21"/>
      <c r="AM210" s="21"/>
      <c r="AN210" s="21"/>
      <c r="AO210" s="21"/>
      <c r="AP210" s="21"/>
      <c r="AQ210" s="21"/>
      <c r="AR210" s="21"/>
      <c r="AS210" s="21"/>
      <c r="AT210" s="21"/>
      <c r="AU210" s="21"/>
      <c r="AV210" s="21"/>
      <c r="AW210" s="21"/>
      <c r="AX210" s="21"/>
      <c r="AY210" s="21"/>
      <c r="AZ210" s="21"/>
      <c r="BA210" s="21"/>
      <c r="BB210" s="21"/>
      <c r="BC210" s="21"/>
      <c r="BD210" s="21"/>
      <c r="BE210" s="21"/>
      <c r="BF210" s="21"/>
      <c r="BG210" s="21"/>
      <c r="BH210" s="21"/>
      <c r="BI210" s="21"/>
      <c r="BJ210" s="21"/>
      <c r="BK210" s="21"/>
      <c r="BL210" s="21"/>
      <c r="BM210" s="21"/>
      <c r="BN210" s="21"/>
      <c r="BO210" s="21"/>
      <c r="BP210" s="21"/>
      <c r="BQ210" s="21"/>
      <c r="BR210" s="21"/>
      <c r="BS210" s="21"/>
      <c r="BT210" s="21"/>
      <c r="BU210" s="21"/>
      <c r="BV210" s="21"/>
      <c r="BW210" s="21"/>
      <c r="BX210" s="21"/>
      <c r="BY210" s="21"/>
      <c r="BZ210" s="21"/>
      <c r="CA210" s="21"/>
      <c r="CB210" s="21"/>
      <c r="CC210" s="21"/>
      <c r="CD210" s="21"/>
      <c r="CE210" s="21"/>
      <c r="CF210" s="21"/>
      <c r="CG210" s="21"/>
      <c r="CH210" s="21"/>
      <c r="CI210" s="21"/>
      <c r="CJ210" s="21"/>
    </row>
    <row r="211" spans="1:88" s="22" customFormat="1" ht="23.25" customHeight="1" outlineLevel="1" x14ac:dyDescent="0.2">
      <c r="A211" s="29"/>
      <c r="B211" s="81"/>
      <c r="C211" s="82"/>
      <c r="D211" s="89"/>
      <c r="E211" s="91"/>
      <c r="F211" s="92"/>
      <c r="G211" s="93"/>
      <c r="H211" s="45"/>
      <c r="I211" s="41"/>
      <c r="J211" s="214"/>
      <c r="K211" s="37"/>
      <c r="L211" s="38"/>
      <c r="M211" s="38"/>
      <c r="N211" s="37"/>
      <c r="O211" s="39"/>
      <c r="P211" s="53"/>
      <c r="Q211" s="55"/>
      <c r="R211" s="137" t="s">
        <v>600</v>
      </c>
      <c r="S211" s="136" t="s">
        <v>600</v>
      </c>
      <c r="T211" s="136" t="s">
        <v>17</v>
      </c>
      <c r="U211" s="136" t="s">
        <v>17</v>
      </c>
      <c r="V211" s="136"/>
      <c r="W211" s="136"/>
      <c r="X211" s="263"/>
      <c r="Y211" s="1" t="str">
        <f t="shared" si="2"/>
        <v>_</v>
      </c>
      <c r="Z211" s="1" t="str">
        <f t="shared" si="3"/>
        <v>_</v>
      </c>
      <c r="AA211" s="21"/>
      <c r="AB211" s="21"/>
      <c r="AC211" s="21"/>
      <c r="AD211" s="21"/>
      <c r="AE211" s="21"/>
      <c r="AF211" s="21"/>
      <c r="AG211" s="21"/>
      <c r="AH211" s="21"/>
      <c r="AI211" s="21"/>
      <c r="AJ211" s="21"/>
      <c r="AK211" s="21"/>
      <c r="AL211" s="21"/>
      <c r="AM211" s="21"/>
      <c r="AN211" s="21"/>
      <c r="AO211" s="21"/>
      <c r="AP211" s="21"/>
      <c r="AQ211" s="21"/>
      <c r="AR211" s="21"/>
      <c r="AS211" s="21"/>
      <c r="AT211" s="21"/>
      <c r="AU211" s="21"/>
      <c r="AV211" s="21"/>
      <c r="AW211" s="21"/>
      <c r="AX211" s="21"/>
      <c r="AY211" s="21"/>
      <c r="AZ211" s="21"/>
      <c r="BA211" s="21"/>
      <c r="BB211" s="21"/>
      <c r="BC211" s="21"/>
      <c r="BD211" s="21"/>
      <c r="BE211" s="21"/>
      <c r="BF211" s="21"/>
      <c r="BG211" s="21"/>
      <c r="BH211" s="21"/>
      <c r="BI211" s="21"/>
      <c r="BJ211" s="21"/>
      <c r="BK211" s="21"/>
      <c r="BL211" s="21"/>
      <c r="BM211" s="21"/>
      <c r="BN211" s="21"/>
      <c r="BO211" s="21"/>
      <c r="BP211" s="21"/>
      <c r="BQ211" s="21"/>
      <c r="BR211" s="21"/>
      <c r="BS211" s="21"/>
      <c r="BT211" s="21"/>
      <c r="BU211" s="21"/>
      <c r="BV211" s="21"/>
      <c r="BW211" s="21"/>
      <c r="BX211" s="21"/>
      <c r="BY211" s="21"/>
      <c r="BZ211" s="21"/>
      <c r="CA211" s="21"/>
      <c r="CB211" s="21"/>
      <c r="CC211" s="21"/>
      <c r="CD211" s="21"/>
      <c r="CE211" s="21"/>
      <c r="CF211" s="21"/>
      <c r="CG211" s="21"/>
      <c r="CH211" s="21"/>
      <c r="CI211" s="21"/>
      <c r="CJ211" s="21"/>
    </row>
    <row r="212" spans="1:88" s="22" customFormat="1" ht="23.25" customHeight="1" outlineLevel="1" x14ac:dyDescent="0.2">
      <c r="A212" s="29"/>
      <c r="B212" s="81"/>
      <c r="C212" s="82"/>
      <c r="D212" s="89"/>
      <c r="E212" s="91"/>
      <c r="F212" s="92"/>
      <c r="G212" s="93"/>
      <c r="H212" s="45"/>
      <c r="I212" s="41"/>
      <c r="J212" s="214"/>
      <c r="K212" s="37"/>
      <c r="L212" s="38"/>
      <c r="M212" s="38"/>
      <c r="N212" s="37"/>
      <c r="O212" s="39"/>
      <c r="P212" s="53"/>
      <c r="Q212" s="55"/>
      <c r="R212" s="137" t="s">
        <v>600</v>
      </c>
      <c r="S212" s="136" t="s">
        <v>600</v>
      </c>
      <c r="T212" s="136" t="s">
        <v>17</v>
      </c>
      <c r="U212" s="136" t="s">
        <v>17</v>
      </c>
      <c r="V212" s="136"/>
      <c r="W212" s="136"/>
      <c r="X212" s="263"/>
      <c r="Y212" s="1" t="str">
        <f t="shared" si="2"/>
        <v>_</v>
      </c>
      <c r="Z212" s="1" t="str">
        <f t="shared" si="3"/>
        <v>_</v>
      </c>
      <c r="AA212" s="21"/>
      <c r="AB212" s="21"/>
      <c r="AC212" s="21"/>
      <c r="AD212" s="21"/>
      <c r="AE212" s="21"/>
      <c r="AF212" s="21"/>
      <c r="AG212" s="21"/>
      <c r="AH212" s="21"/>
      <c r="AI212" s="21"/>
      <c r="AJ212" s="21"/>
      <c r="AK212" s="21"/>
      <c r="AL212" s="21"/>
      <c r="AM212" s="21"/>
      <c r="AN212" s="21"/>
      <c r="AO212" s="21"/>
      <c r="AP212" s="21"/>
      <c r="AQ212" s="21"/>
      <c r="AR212" s="21"/>
      <c r="AS212" s="21"/>
      <c r="AT212" s="21"/>
      <c r="AU212" s="21"/>
      <c r="AV212" s="21"/>
      <c r="AW212" s="21"/>
      <c r="AX212" s="21"/>
      <c r="AY212" s="21"/>
      <c r="AZ212" s="21"/>
      <c r="BA212" s="21"/>
      <c r="BB212" s="21"/>
      <c r="BC212" s="21"/>
      <c r="BD212" s="21"/>
      <c r="BE212" s="21"/>
      <c r="BF212" s="21"/>
      <c r="BG212" s="21"/>
      <c r="BH212" s="21"/>
      <c r="BI212" s="21"/>
      <c r="BJ212" s="21"/>
      <c r="BK212" s="21"/>
      <c r="BL212" s="21"/>
      <c r="BM212" s="21"/>
      <c r="BN212" s="21"/>
      <c r="BO212" s="21"/>
      <c r="BP212" s="21"/>
      <c r="BQ212" s="21"/>
      <c r="BR212" s="21"/>
      <c r="BS212" s="21"/>
      <c r="BT212" s="21"/>
      <c r="BU212" s="21"/>
      <c r="BV212" s="21"/>
      <c r="BW212" s="21"/>
      <c r="BX212" s="21"/>
      <c r="BY212" s="21"/>
      <c r="BZ212" s="21"/>
      <c r="CA212" s="21"/>
      <c r="CB212" s="21"/>
      <c r="CC212" s="21"/>
      <c r="CD212" s="21"/>
      <c r="CE212" s="21"/>
      <c r="CF212" s="21"/>
      <c r="CG212" s="21"/>
      <c r="CH212" s="21"/>
      <c r="CI212" s="21"/>
      <c r="CJ212" s="21"/>
    </row>
    <row r="213" spans="1:88" s="22" customFormat="1" ht="23.25" customHeight="1" outlineLevel="1" x14ac:dyDescent="0.2">
      <c r="A213" s="29"/>
      <c r="B213" s="81"/>
      <c r="C213" s="82"/>
      <c r="D213" s="89"/>
      <c r="E213" s="91"/>
      <c r="F213" s="92"/>
      <c r="G213" s="93"/>
      <c r="H213" s="45"/>
      <c r="I213" s="41"/>
      <c r="J213" s="214"/>
      <c r="K213" s="37"/>
      <c r="L213" s="38"/>
      <c r="M213" s="38"/>
      <c r="N213" s="37"/>
      <c r="O213" s="39"/>
      <c r="P213" s="53"/>
      <c r="Q213" s="55"/>
      <c r="R213" s="137" t="s">
        <v>600</v>
      </c>
      <c r="S213" s="136" t="s">
        <v>600</v>
      </c>
      <c r="T213" s="136" t="s">
        <v>17</v>
      </c>
      <c r="U213" s="136" t="s">
        <v>17</v>
      </c>
      <c r="V213" s="136"/>
      <c r="W213" s="136"/>
      <c r="X213" s="263"/>
      <c r="Y213" s="1" t="str">
        <f t="shared" si="2"/>
        <v>_</v>
      </c>
      <c r="Z213" s="1" t="str">
        <f t="shared" si="3"/>
        <v>_</v>
      </c>
      <c r="AA213" s="21"/>
      <c r="AB213" s="21"/>
      <c r="AC213" s="21"/>
      <c r="AD213" s="21"/>
      <c r="AE213" s="21"/>
      <c r="AF213" s="21"/>
      <c r="AG213" s="21"/>
      <c r="AH213" s="21"/>
      <c r="AI213" s="21"/>
      <c r="AJ213" s="21"/>
      <c r="AK213" s="21"/>
      <c r="AL213" s="21"/>
      <c r="AM213" s="21"/>
      <c r="AN213" s="21"/>
      <c r="AO213" s="21"/>
      <c r="AP213" s="21"/>
      <c r="AQ213" s="21"/>
      <c r="AR213" s="21"/>
      <c r="AS213" s="21"/>
      <c r="AT213" s="21"/>
      <c r="AU213" s="21"/>
      <c r="AV213" s="21"/>
      <c r="AW213" s="21"/>
      <c r="AX213" s="21"/>
      <c r="AY213" s="21"/>
      <c r="AZ213" s="21"/>
      <c r="BA213" s="21"/>
      <c r="BB213" s="21"/>
      <c r="BC213" s="21"/>
      <c r="BD213" s="21"/>
      <c r="BE213" s="21"/>
      <c r="BF213" s="21"/>
      <c r="BG213" s="21"/>
      <c r="BH213" s="21"/>
      <c r="BI213" s="21"/>
      <c r="BJ213" s="21"/>
      <c r="BK213" s="21"/>
      <c r="BL213" s="21"/>
      <c r="BM213" s="21"/>
      <c r="BN213" s="21"/>
      <c r="BO213" s="21"/>
      <c r="BP213" s="21"/>
      <c r="BQ213" s="21"/>
      <c r="BR213" s="21"/>
      <c r="BS213" s="21"/>
      <c r="BT213" s="21"/>
      <c r="BU213" s="21"/>
      <c r="BV213" s="21"/>
      <c r="BW213" s="21"/>
      <c r="BX213" s="21"/>
      <c r="BY213" s="21"/>
      <c r="BZ213" s="21"/>
      <c r="CA213" s="21"/>
      <c r="CB213" s="21"/>
      <c r="CC213" s="21"/>
      <c r="CD213" s="21"/>
      <c r="CE213" s="21"/>
      <c r="CF213" s="21"/>
      <c r="CG213" s="21"/>
      <c r="CH213" s="21"/>
      <c r="CI213" s="21"/>
      <c r="CJ213" s="21"/>
    </row>
    <row r="214" spans="1:88" s="22" customFormat="1" ht="23.25" customHeight="1" outlineLevel="1" x14ac:dyDescent="0.2">
      <c r="A214" s="29"/>
      <c r="B214" s="81"/>
      <c r="C214" s="82"/>
      <c r="D214" s="89"/>
      <c r="E214" s="91"/>
      <c r="F214" s="92"/>
      <c r="G214" s="93"/>
      <c r="H214" s="45"/>
      <c r="I214" s="41"/>
      <c r="J214" s="214"/>
      <c r="K214" s="37"/>
      <c r="L214" s="38"/>
      <c r="M214" s="38"/>
      <c r="N214" s="37"/>
      <c r="O214" s="39"/>
      <c r="P214" s="53"/>
      <c r="Q214" s="55"/>
      <c r="R214" s="137" t="s">
        <v>600</v>
      </c>
      <c r="S214" s="136" t="s">
        <v>600</v>
      </c>
      <c r="T214" s="136" t="s">
        <v>17</v>
      </c>
      <c r="U214" s="136" t="s">
        <v>17</v>
      </c>
      <c r="V214" s="136"/>
      <c r="W214" s="136"/>
      <c r="X214" s="263"/>
      <c r="Y214" s="1" t="str">
        <f t="shared" si="2"/>
        <v>_</v>
      </c>
      <c r="Z214" s="1" t="str">
        <f t="shared" si="3"/>
        <v>_</v>
      </c>
      <c r="AA214" s="21"/>
      <c r="AB214" s="21"/>
      <c r="AC214" s="21"/>
      <c r="AD214" s="21"/>
      <c r="AE214" s="21"/>
      <c r="AF214" s="21"/>
      <c r="AG214" s="21"/>
      <c r="AH214" s="21"/>
      <c r="AI214" s="21"/>
      <c r="AJ214" s="21"/>
      <c r="AK214" s="21"/>
      <c r="AL214" s="21"/>
      <c r="AM214" s="21"/>
      <c r="AN214" s="21"/>
      <c r="AO214" s="21"/>
      <c r="AP214" s="21"/>
      <c r="AQ214" s="21"/>
      <c r="AR214" s="21"/>
      <c r="AS214" s="21"/>
      <c r="AT214" s="21"/>
      <c r="AU214" s="21"/>
      <c r="AV214" s="21"/>
      <c r="AW214" s="21"/>
      <c r="AX214" s="21"/>
      <c r="AY214" s="21"/>
      <c r="AZ214" s="21"/>
      <c r="BA214" s="21"/>
      <c r="BB214" s="21"/>
      <c r="BC214" s="21"/>
      <c r="BD214" s="21"/>
      <c r="BE214" s="21"/>
      <c r="BF214" s="21"/>
      <c r="BG214" s="21"/>
      <c r="BH214" s="21"/>
      <c r="BI214" s="21"/>
      <c r="BJ214" s="21"/>
      <c r="BK214" s="21"/>
      <c r="BL214" s="21"/>
      <c r="BM214" s="21"/>
      <c r="BN214" s="21"/>
      <c r="BO214" s="21"/>
      <c r="BP214" s="21"/>
      <c r="BQ214" s="21"/>
      <c r="BR214" s="21"/>
      <c r="BS214" s="21"/>
      <c r="BT214" s="21"/>
      <c r="BU214" s="21"/>
      <c r="BV214" s="21"/>
      <c r="BW214" s="21"/>
      <c r="BX214" s="21"/>
      <c r="BY214" s="21"/>
      <c r="BZ214" s="21"/>
      <c r="CA214" s="21"/>
      <c r="CB214" s="21"/>
      <c r="CC214" s="21"/>
      <c r="CD214" s="21"/>
      <c r="CE214" s="21"/>
      <c r="CF214" s="21"/>
      <c r="CG214" s="21"/>
      <c r="CH214" s="21"/>
      <c r="CI214" s="21"/>
      <c r="CJ214" s="21"/>
    </row>
    <row r="215" spans="1:88" s="22" customFormat="1" ht="23.25" customHeight="1" outlineLevel="1" x14ac:dyDescent="0.2">
      <c r="A215" s="29"/>
      <c r="B215" s="81"/>
      <c r="C215" s="82"/>
      <c r="D215" s="89"/>
      <c r="E215" s="91"/>
      <c r="F215" s="92"/>
      <c r="G215" s="93"/>
      <c r="H215" s="45"/>
      <c r="I215" s="41"/>
      <c r="J215" s="214"/>
      <c r="K215" s="37"/>
      <c r="L215" s="38"/>
      <c r="M215" s="38"/>
      <c r="N215" s="37"/>
      <c r="O215" s="39"/>
      <c r="P215" s="53"/>
      <c r="Q215" s="55"/>
      <c r="R215" s="137" t="s">
        <v>600</v>
      </c>
      <c r="S215" s="136" t="s">
        <v>600</v>
      </c>
      <c r="T215" s="136" t="s">
        <v>17</v>
      </c>
      <c r="U215" s="136" t="s">
        <v>17</v>
      </c>
      <c r="V215" s="136"/>
      <c r="W215" s="136"/>
      <c r="X215" s="263"/>
      <c r="Y215" s="1" t="str">
        <f t="shared" si="2"/>
        <v>_</v>
      </c>
      <c r="Z215" s="1" t="str">
        <f t="shared" si="3"/>
        <v>_</v>
      </c>
      <c r="AA215" s="21"/>
      <c r="AB215" s="21"/>
      <c r="AC215" s="21"/>
      <c r="AD215" s="21"/>
      <c r="AE215" s="21"/>
      <c r="AF215" s="21"/>
      <c r="AG215" s="21"/>
      <c r="AH215" s="21"/>
      <c r="AI215" s="21"/>
      <c r="AJ215" s="21"/>
      <c r="AK215" s="21"/>
      <c r="AL215" s="21"/>
      <c r="AM215" s="21"/>
      <c r="AN215" s="21"/>
      <c r="AO215" s="21"/>
      <c r="AP215" s="21"/>
      <c r="AQ215" s="21"/>
      <c r="AR215" s="21"/>
      <c r="AS215" s="21"/>
      <c r="AT215" s="21"/>
      <c r="AU215" s="21"/>
      <c r="AV215" s="21"/>
      <c r="AW215" s="21"/>
      <c r="AX215" s="21"/>
      <c r="AY215" s="21"/>
      <c r="AZ215" s="21"/>
      <c r="BA215" s="21"/>
      <c r="BB215" s="21"/>
      <c r="BC215" s="21"/>
      <c r="BD215" s="21"/>
      <c r="BE215" s="21"/>
      <c r="BF215" s="21"/>
      <c r="BG215" s="21"/>
      <c r="BH215" s="21"/>
      <c r="BI215" s="21"/>
      <c r="BJ215" s="21"/>
      <c r="BK215" s="21"/>
      <c r="BL215" s="21"/>
      <c r="BM215" s="21"/>
      <c r="BN215" s="21"/>
      <c r="BO215" s="21"/>
      <c r="BP215" s="21"/>
      <c r="BQ215" s="21"/>
      <c r="BR215" s="21"/>
      <c r="BS215" s="21"/>
      <c r="BT215" s="21"/>
      <c r="BU215" s="21"/>
      <c r="BV215" s="21"/>
      <c r="BW215" s="21"/>
      <c r="BX215" s="21"/>
      <c r="BY215" s="21"/>
      <c r="BZ215" s="21"/>
      <c r="CA215" s="21"/>
      <c r="CB215" s="21"/>
      <c r="CC215" s="21"/>
      <c r="CD215" s="21"/>
      <c r="CE215" s="21"/>
      <c r="CF215" s="21"/>
      <c r="CG215" s="21"/>
      <c r="CH215" s="21"/>
      <c r="CI215" s="21"/>
      <c r="CJ215" s="21"/>
    </row>
    <row r="216" spans="1:88" s="22" customFormat="1" ht="23.25" customHeight="1" outlineLevel="1" x14ac:dyDescent="0.2">
      <c r="A216" s="29"/>
      <c r="B216" s="81"/>
      <c r="C216" s="82"/>
      <c r="D216" s="89"/>
      <c r="E216" s="91"/>
      <c r="F216" s="92"/>
      <c r="G216" s="93"/>
      <c r="H216" s="45"/>
      <c r="I216" s="41"/>
      <c r="J216" s="214"/>
      <c r="K216" s="37"/>
      <c r="L216" s="38"/>
      <c r="M216" s="38"/>
      <c r="N216" s="37"/>
      <c r="O216" s="39"/>
      <c r="P216" s="53"/>
      <c r="Q216" s="55"/>
      <c r="R216" s="137" t="s">
        <v>600</v>
      </c>
      <c r="S216" s="136" t="s">
        <v>600</v>
      </c>
      <c r="T216" s="136" t="s">
        <v>17</v>
      </c>
      <c r="U216" s="136" t="s">
        <v>17</v>
      </c>
      <c r="V216" s="136"/>
      <c r="W216" s="136"/>
      <c r="X216" s="263"/>
      <c r="Y216" s="1" t="str">
        <f t="shared" si="2"/>
        <v>_</v>
      </c>
      <c r="Z216" s="1" t="str">
        <f t="shared" si="3"/>
        <v>_</v>
      </c>
      <c r="AA216" s="21"/>
      <c r="AB216" s="21"/>
      <c r="AC216" s="21"/>
      <c r="AD216" s="21"/>
      <c r="AE216" s="21"/>
      <c r="AF216" s="21"/>
      <c r="AG216" s="21"/>
      <c r="AH216" s="21"/>
      <c r="AI216" s="21"/>
      <c r="AJ216" s="21"/>
      <c r="AK216" s="21"/>
      <c r="AL216" s="21"/>
      <c r="AM216" s="21"/>
      <c r="AN216" s="21"/>
      <c r="AO216" s="21"/>
      <c r="AP216" s="21"/>
      <c r="AQ216" s="21"/>
      <c r="AR216" s="21"/>
      <c r="AS216" s="21"/>
      <c r="AT216" s="21"/>
      <c r="AU216" s="21"/>
      <c r="AV216" s="21"/>
      <c r="AW216" s="21"/>
      <c r="AX216" s="21"/>
      <c r="AY216" s="21"/>
      <c r="AZ216" s="21"/>
      <c r="BA216" s="21"/>
      <c r="BB216" s="21"/>
      <c r="BC216" s="21"/>
      <c r="BD216" s="21"/>
      <c r="BE216" s="21"/>
      <c r="BF216" s="21"/>
      <c r="BG216" s="21"/>
      <c r="BH216" s="21"/>
      <c r="BI216" s="21"/>
      <c r="BJ216" s="21"/>
      <c r="BK216" s="21"/>
      <c r="BL216" s="21"/>
      <c r="BM216" s="21"/>
      <c r="BN216" s="21"/>
      <c r="BO216" s="21"/>
      <c r="BP216" s="21"/>
      <c r="BQ216" s="21"/>
      <c r="BR216" s="21"/>
      <c r="BS216" s="21"/>
      <c r="BT216" s="21"/>
      <c r="BU216" s="21"/>
      <c r="BV216" s="21"/>
      <c r="BW216" s="21"/>
      <c r="BX216" s="21"/>
      <c r="BY216" s="21"/>
      <c r="BZ216" s="21"/>
      <c r="CA216" s="21"/>
      <c r="CB216" s="21"/>
      <c r="CC216" s="21"/>
      <c r="CD216" s="21"/>
      <c r="CE216" s="21"/>
      <c r="CF216" s="21"/>
      <c r="CG216" s="21"/>
      <c r="CH216" s="21"/>
      <c r="CI216" s="21"/>
      <c r="CJ216" s="21"/>
    </row>
    <row r="217" spans="1:88" s="22" customFormat="1" ht="23.25" customHeight="1" outlineLevel="1" x14ac:dyDescent="0.2">
      <c r="A217" s="29"/>
      <c r="B217" s="81"/>
      <c r="C217" s="82"/>
      <c r="D217" s="89"/>
      <c r="E217" s="91"/>
      <c r="F217" s="92"/>
      <c r="G217" s="93"/>
      <c r="H217" s="45"/>
      <c r="I217" s="41"/>
      <c r="J217" s="214"/>
      <c r="K217" s="37"/>
      <c r="L217" s="38"/>
      <c r="M217" s="38"/>
      <c r="N217" s="37"/>
      <c r="O217" s="39"/>
      <c r="P217" s="53"/>
      <c r="Q217" s="55"/>
      <c r="R217" s="137" t="s">
        <v>600</v>
      </c>
      <c r="S217" s="136" t="s">
        <v>600</v>
      </c>
      <c r="T217" s="136" t="s">
        <v>17</v>
      </c>
      <c r="U217" s="136" t="s">
        <v>17</v>
      </c>
      <c r="V217" s="136"/>
      <c r="W217" s="136"/>
      <c r="X217" s="263"/>
      <c r="Y217" s="1" t="str">
        <f t="shared" si="2"/>
        <v>_</v>
      </c>
      <c r="Z217" s="1" t="str">
        <f t="shared" si="3"/>
        <v>_</v>
      </c>
      <c r="AA217" s="21"/>
      <c r="AB217" s="21"/>
      <c r="AC217" s="21"/>
      <c r="AD217" s="21"/>
      <c r="AE217" s="21"/>
      <c r="AF217" s="21"/>
      <c r="AG217" s="21"/>
      <c r="AH217" s="21"/>
      <c r="AI217" s="21"/>
      <c r="AJ217" s="21"/>
      <c r="AK217" s="21"/>
      <c r="AL217" s="21"/>
      <c r="AM217" s="21"/>
      <c r="AN217" s="21"/>
      <c r="AO217" s="21"/>
      <c r="AP217" s="21"/>
      <c r="AQ217" s="21"/>
      <c r="AR217" s="21"/>
      <c r="AS217" s="21"/>
      <c r="AT217" s="21"/>
      <c r="AU217" s="21"/>
      <c r="AV217" s="21"/>
      <c r="AW217" s="21"/>
      <c r="AX217" s="21"/>
      <c r="AY217" s="21"/>
      <c r="AZ217" s="21"/>
      <c r="BA217" s="21"/>
      <c r="BB217" s="21"/>
      <c r="BC217" s="21"/>
      <c r="BD217" s="21"/>
      <c r="BE217" s="21"/>
      <c r="BF217" s="21"/>
      <c r="BG217" s="21"/>
      <c r="BH217" s="21"/>
      <c r="BI217" s="21"/>
      <c r="BJ217" s="21"/>
      <c r="BK217" s="21"/>
      <c r="BL217" s="21"/>
      <c r="BM217" s="21"/>
      <c r="BN217" s="21"/>
      <c r="BO217" s="21"/>
      <c r="BP217" s="21"/>
      <c r="BQ217" s="21"/>
      <c r="BR217" s="21"/>
      <c r="BS217" s="21"/>
      <c r="BT217" s="21"/>
      <c r="BU217" s="21"/>
      <c r="BV217" s="21"/>
      <c r="BW217" s="21"/>
      <c r="BX217" s="21"/>
      <c r="BY217" s="21"/>
      <c r="BZ217" s="21"/>
      <c r="CA217" s="21"/>
      <c r="CB217" s="21"/>
      <c r="CC217" s="21"/>
      <c r="CD217" s="21"/>
      <c r="CE217" s="21"/>
      <c r="CF217" s="21"/>
      <c r="CG217" s="21"/>
      <c r="CH217" s="21"/>
      <c r="CI217" s="21"/>
      <c r="CJ217" s="21"/>
    </row>
    <row r="218" spans="1:88" s="22" customFormat="1" ht="23.25" customHeight="1" outlineLevel="1" x14ac:dyDescent="0.2">
      <c r="A218" s="29"/>
      <c r="B218" s="81"/>
      <c r="C218" s="82"/>
      <c r="D218" s="89"/>
      <c r="E218" s="91"/>
      <c r="F218" s="92"/>
      <c r="G218" s="93"/>
      <c r="H218" s="45"/>
      <c r="I218" s="41"/>
      <c r="J218" s="214"/>
      <c r="K218" s="37"/>
      <c r="L218" s="38"/>
      <c r="M218" s="38"/>
      <c r="N218" s="37"/>
      <c r="O218" s="39"/>
      <c r="P218" s="53"/>
      <c r="Q218" s="55"/>
      <c r="R218" s="137" t="s">
        <v>600</v>
      </c>
      <c r="S218" s="136" t="s">
        <v>600</v>
      </c>
      <c r="T218" s="136" t="s">
        <v>17</v>
      </c>
      <c r="U218" s="136" t="s">
        <v>17</v>
      </c>
      <c r="V218" s="136"/>
      <c r="W218" s="136"/>
      <c r="X218" s="263"/>
      <c r="Y218" s="1" t="str">
        <f t="shared" si="2"/>
        <v>_</v>
      </c>
      <c r="Z218" s="1" t="str">
        <f t="shared" si="3"/>
        <v>_</v>
      </c>
      <c r="AA218" s="21"/>
      <c r="AB218" s="21"/>
      <c r="AC218" s="21"/>
      <c r="AD218" s="21"/>
      <c r="AE218" s="21"/>
      <c r="AF218" s="21"/>
      <c r="AG218" s="21"/>
      <c r="AH218" s="21"/>
      <c r="AI218" s="21"/>
      <c r="AJ218" s="21"/>
      <c r="AK218" s="21"/>
      <c r="AL218" s="21"/>
      <c r="AM218" s="21"/>
      <c r="AN218" s="21"/>
      <c r="AO218" s="21"/>
      <c r="AP218" s="21"/>
      <c r="AQ218" s="21"/>
      <c r="AR218" s="21"/>
      <c r="AS218" s="21"/>
      <c r="AT218" s="21"/>
      <c r="AU218" s="21"/>
      <c r="AV218" s="21"/>
      <c r="AW218" s="21"/>
      <c r="AX218" s="21"/>
      <c r="AY218" s="21"/>
      <c r="AZ218" s="21"/>
      <c r="BA218" s="21"/>
      <c r="BB218" s="21"/>
      <c r="BC218" s="21"/>
      <c r="BD218" s="21"/>
      <c r="BE218" s="21"/>
      <c r="BF218" s="21"/>
      <c r="BG218" s="21"/>
      <c r="BH218" s="21"/>
      <c r="BI218" s="21"/>
      <c r="BJ218" s="21"/>
      <c r="BK218" s="21"/>
      <c r="BL218" s="21"/>
      <c r="BM218" s="21"/>
      <c r="BN218" s="21"/>
      <c r="BO218" s="21"/>
      <c r="BP218" s="21"/>
      <c r="BQ218" s="21"/>
      <c r="BR218" s="21"/>
      <c r="BS218" s="21"/>
      <c r="BT218" s="21"/>
      <c r="BU218" s="21"/>
      <c r="BV218" s="21"/>
      <c r="BW218" s="21"/>
      <c r="BX218" s="21"/>
      <c r="BY218" s="21"/>
      <c r="BZ218" s="21"/>
      <c r="CA218" s="21"/>
      <c r="CB218" s="21"/>
      <c r="CC218" s="21"/>
      <c r="CD218" s="21"/>
      <c r="CE218" s="21"/>
      <c r="CF218" s="21"/>
      <c r="CG218" s="21"/>
      <c r="CH218" s="21"/>
      <c r="CI218" s="21"/>
      <c r="CJ218" s="21"/>
    </row>
    <row r="219" spans="1:88" s="16" customFormat="1" ht="14.25" customHeight="1" outlineLevel="1" x14ac:dyDescent="0.2">
      <c r="A219" s="31"/>
      <c r="B219" s="81"/>
      <c r="C219" s="82"/>
      <c r="D219" s="89"/>
      <c r="E219" s="91"/>
      <c r="F219" s="92"/>
      <c r="G219" s="93"/>
      <c r="H219" s="46"/>
      <c r="I219" s="42"/>
      <c r="J219" s="214"/>
      <c r="K219" s="37"/>
      <c r="L219" s="38"/>
      <c r="M219" s="38"/>
      <c r="N219" s="37"/>
      <c r="O219" s="39"/>
      <c r="P219" s="53"/>
      <c r="Q219" s="55"/>
      <c r="R219" s="137" t="s">
        <v>600</v>
      </c>
      <c r="S219" s="136" t="s">
        <v>600</v>
      </c>
      <c r="T219" s="136" t="s">
        <v>17</v>
      </c>
      <c r="U219" s="136" t="s">
        <v>17</v>
      </c>
      <c r="V219" s="136"/>
      <c r="W219" s="136"/>
      <c r="X219" s="263"/>
      <c r="Y219" s="1" t="str">
        <f t="shared" si="2"/>
        <v>_</v>
      </c>
      <c r="Z219" s="1" t="str">
        <f t="shared" si="3"/>
        <v>_</v>
      </c>
    </row>
    <row r="220" spans="1:88" s="16" customFormat="1" ht="14.25" customHeight="1" outlineLevel="1" x14ac:dyDescent="0.2">
      <c r="A220" s="31"/>
      <c r="B220" s="81"/>
      <c r="C220" s="82"/>
      <c r="D220" s="89"/>
      <c r="E220" s="91"/>
      <c r="F220" s="92"/>
      <c r="G220" s="93"/>
      <c r="H220" s="46"/>
      <c r="I220" s="42"/>
      <c r="J220" s="214"/>
      <c r="K220" s="37"/>
      <c r="L220" s="38"/>
      <c r="M220" s="38"/>
      <c r="N220" s="37"/>
      <c r="O220" s="39"/>
      <c r="P220" s="53"/>
      <c r="Q220" s="55"/>
      <c r="R220" s="137" t="s">
        <v>600</v>
      </c>
      <c r="S220" s="136" t="s">
        <v>600</v>
      </c>
      <c r="T220" s="136" t="s">
        <v>17</v>
      </c>
      <c r="U220" s="136" t="s">
        <v>17</v>
      </c>
      <c r="V220" s="136"/>
      <c r="W220" s="136"/>
      <c r="X220" s="263"/>
      <c r="Y220" s="1" t="str">
        <f t="shared" si="2"/>
        <v>_</v>
      </c>
      <c r="Z220" s="1" t="str">
        <f t="shared" si="3"/>
        <v>_</v>
      </c>
    </row>
    <row r="221" spans="1:88" s="16" customFormat="1" ht="14.25" customHeight="1" outlineLevel="1" x14ac:dyDescent="0.2">
      <c r="A221" s="31"/>
      <c r="B221" s="81"/>
      <c r="C221" s="82"/>
      <c r="D221" s="89"/>
      <c r="E221" s="91"/>
      <c r="F221" s="92"/>
      <c r="G221" s="93"/>
      <c r="H221" s="46"/>
      <c r="I221" s="42"/>
      <c r="J221" s="214"/>
      <c r="K221" s="37"/>
      <c r="L221" s="38"/>
      <c r="M221" s="38"/>
      <c r="N221" s="37"/>
      <c r="O221" s="39"/>
      <c r="P221" s="53"/>
      <c r="Q221" s="55"/>
      <c r="R221" s="137" t="s">
        <v>600</v>
      </c>
      <c r="S221" s="136" t="s">
        <v>600</v>
      </c>
      <c r="T221" s="136" t="s">
        <v>17</v>
      </c>
      <c r="U221" s="136" t="s">
        <v>17</v>
      </c>
      <c r="V221" s="136"/>
      <c r="W221" s="136"/>
      <c r="X221" s="263"/>
      <c r="Y221" s="1" t="str">
        <f t="shared" si="2"/>
        <v>_</v>
      </c>
      <c r="Z221" s="1" t="str">
        <f t="shared" si="3"/>
        <v>_</v>
      </c>
    </row>
    <row r="222" spans="1:88" s="16" customFormat="1" ht="14.25" customHeight="1" outlineLevel="1" x14ac:dyDescent="0.2">
      <c r="A222" s="31"/>
      <c r="B222" s="81"/>
      <c r="C222" s="82"/>
      <c r="D222" s="89"/>
      <c r="E222" s="91"/>
      <c r="F222" s="92"/>
      <c r="G222" s="93"/>
      <c r="H222" s="46"/>
      <c r="I222" s="42"/>
      <c r="J222" s="214"/>
      <c r="K222" s="37"/>
      <c r="L222" s="38"/>
      <c r="M222" s="38"/>
      <c r="N222" s="37"/>
      <c r="O222" s="39"/>
      <c r="P222" s="53"/>
      <c r="Q222" s="55"/>
      <c r="R222" s="137" t="s">
        <v>600</v>
      </c>
      <c r="S222" s="136" t="s">
        <v>600</v>
      </c>
      <c r="T222" s="136" t="s">
        <v>17</v>
      </c>
      <c r="U222" s="136" t="s">
        <v>17</v>
      </c>
      <c r="V222" s="136"/>
      <c r="W222" s="136"/>
      <c r="X222" s="263"/>
      <c r="Y222" s="1" t="str">
        <f t="shared" si="2"/>
        <v>_</v>
      </c>
      <c r="Z222" s="1" t="str">
        <f t="shared" si="3"/>
        <v>_</v>
      </c>
    </row>
    <row r="223" spans="1:88" s="16" customFormat="1" ht="14.25" customHeight="1" outlineLevel="1" x14ac:dyDescent="0.2">
      <c r="A223" s="31"/>
      <c r="B223" s="81"/>
      <c r="C223" s="82"/>
      <c r="D223" s="89"/>
      <c r="E223" s="91"/>
      <c r="F223" s="92"/>
      <c r="G223" s="93"/>
      <c r="H223" s="46"/>
      <c r="I223" s="42"/>
      <c r="J223" s="214"/>
      <c r="K223" s="37"/>
      <c r="L223" s="38"/>
      <c r="M223" s="38"/>
      <c r="N223" s="37"/>
      <c r="O223" s="39"/>
      <c r="P223" s="53"/>
      <c r="Q223" s="55"/>
      <c r="R223" s="137" t="s">
        <v>600</v>
      </c>
      <c r="S223" s="136" t="s">
        <v>600</v>
      </c>
      <c r="T223" s="136" t="s">
        <v>17</v>
      </c>
      <c r="U223" s="136" t="s">
        <v>17</v>
      </c>
      <c r="V223" s="136"/>
      <c r="W223" s="136"/>
      <c r="X223" s="263"/>
      <c r="Y223" s="1" t="str">
        <f t="shared" si="2"/>
        <v>_</v>
      </c>
      <c r="Z223" s="1" t="str">
        <f t="shared" si="3"/>
        <v>_</v>
      </c>
    </row>
    <row r="224" spans="1:88" s="16" customFormat="1" ht="14.25" customHeight="1" outlineLevel="1" x14ac:dyDescent="0.2">
      <c r="A224" s="31"/>
      <c r="B224" s="81"/>
      <c r="C224" s="82"/>
      <c r="D224" s="89"/>
      <c r="E224" s="91"/>
      <c r="F224" s="92"/>
      <c r="G224" s="93"/>
      <c r="H224" s="46"/>
      <c r="I224" s="42"/>
      <c r="J224" s="214"/>
      <c r="K224" s="37"/>
      <c r="L224" s="38"/>
      <c r="M224" s="38"/>
      <c r="N224" s="37"/>
      <c r="O224" s="39"/>
      <c r="P224" s="53"/>
      <c r="Q224" s="55"/>
      <c r="R224" s="137" t="s">
        <v>600</v>
      </c>
      <c r="S224" s="136" t="s">
        <v>600</v>
      </c>
      <c r="T224" s="136" t="s">
        <v>17</v>
      </c>
      <c r="U224" s="136" t="s">
        <v>17</v>
      </c>
      <c r="V224" s="136"/>
      <c r="W224" s="136"/>
      <c r="X224" s="263"/>
      <c r="Y224" s="1" t="str">
        <f t="shared" si="2"/>
        <v>_</v>
      </c>
      <c r="Z224" s="1" t="str">
        <f t="shared" si="3"/>
        <v>_</v>
      </c>
    </row>
    <row r="225" spans="1:31" s="16" customFormat="1" ht="14.25" customHeight="1" outlineLevel="1" x14ac:dyDescent="0.2">
      <c r="A225" s="31"/>
      <c r="B225" s="81"/>
      <c r="C225" s="82"/>
      <c r="D225" s="89"/>
      <c r="E225" s="91"/>
      <c r="F225" s="92"/>
      <c r="G225" s="93"/>
      <c r="H225" s="46"/>
      <c r="I225" s="42"/>
      <c r="J225" s="214"/>
      <c r="K225" s="37"/>
      <c r="L225" s="38"/>
      <c r="M225" s="38"/>
      <c r="N225" s="37"/>
      <c r="O225" s="39"/>
      <c r="P225" s="53"/>
      <c r="Q225" s="55"/>
      <c r="R225" s="137" t="s">
        <v>600</v>
      </c>
      <c r="S225" s="136" t="s">
        <v>600</v>
      </c>
      <c r="T225" s="136" t="s">
        <v>17</v>
      </c>
      <c r="U225" s="136" t="s">
        <v>17</v>
      </c>
      <c r="V225" s="136"/>
      <c r="W225" s="136"/>
      <c r="X225" s="263"/>
      <c r="Y225" s="1" t="str">
        <f t="shared" si="2"/>
        <v>_</v>
      </c>
      <c r="Z225" s="1" t="str">
        <f t="shared" si="3"/>
        <v>_</v>
      </c>
    </row>
    <row r="226" spans="1:31" s="16" customFormat="1" ht="14.25" customHeight="1" outlineLevel="1" x14ac:dyDescent="0.2">
      <c r="A226" s="31"/>
      <c r="B226" s="81"/>
      <c r="C226" s="82"/>
      <c r="D226" s="89"/>
      <c r="E226" s="91"/>
      <c r="F226" s="92"/>
      <c r="G226" s="93"/>
      <c r="H226" s="46"/>
      <c r="I226" s="42"/>
      <c r="J226" s="214"/>
      <c r="K226" s="37"/>
      <c r="L226" s="38"/>
      <c r="M226" s="38"/>
      <c r="N226" s="37"/>
      <c r="O226" s="39"/>
      <c r="P226" s="53"/>
      <c r="Q226" s="55"/>
      <c r="R226" s="137" t="s">
        <v>600</v>
      </c>
      <c r="S226" s="136" t="s">
        <v>600</v>
      </c>
      <c r="T226" s="136" t="s">
        <v>17</v>
      </c>
      <c r="U226" s="136" t="s">
        <v>17</v>
      </c>
      <c r="V226" s="136"/>
      <c r="W226" s="136"/>
      <c r="X226" s="263"/>
      <c r="Y226" s="1" t="str">
        <f t="shared" si="2"/>
        <v>_</v>
      </c>
      <c r="Z226" s="1" t="str">
        <f t="shared" si="3"/>
        <v>_</v>
      </c>
    </row>
    <row r="227" spans="1:31" s="16" customFormat="1" ht="14.25" customHeight="1" outlineLevel="1" x14ac:dyDescent="0.2">
      <c r="A227" s="31"/>
      <c r="B227" s="81"/>
      <c r="C227" s="82"/>
      <c r="D227" s="89"/>
      <c r="E227" s="91"/>
      <c r="F227" s="92"/>
      <c r="G227" s="93"/>
      <c r="H227" s="46"/>
      <c r="I227" s="42"/>
      <c r="J227" s="214"/>
      <c r="K227" s="37"/>
      <c r="L227" s="38"/>
      <c r="M227" s="38"/>
      <c r="N227" s="37"/>
      <c r="O227" s="39"/>
      <c r="P227" s="53"/>
      <c r="Q227" s="55"/>
      <c r="R227" s="137" t="s">
        <v>600</v>
      </c>
      <c r="S227" s="136" t="s">
        <v>600</v>
      </c>
      <c r="T227" s="136" t="s">
        <v>17</v>
      </c>
      <c r="U227" s="136" t="s">
        <v>17</v>
      </c>
      <c r="V227" s="136"/>
      <c r="W227" s="136"/>
      <c r="X227" s="263"/>
      <c r="Y227" s="1" t="str">
        <f t="shared" si="2"/>
        <v>_</v>
      </c>
      <c r="Z227" s="1" t="str">
        <f t="shared" si="3"/>
        <v>_</v>
      </c>
    </row>
    <row r="228" spans="1:31" s="16" customFormat="1" ht="14.25" customHeight="1" outlineLevel="1" x14ac:dyDescent="0.2">
      <c r="A228" s="31"/>
      <c r="B228" s="81"/>
      <c r="C228" s="82"/>
      <c r="D228" s="89"/>
      <c r="E228" s="91"/>
      <c r="F228" s="92"/>
      <c r="G228" s="93"/>
      <c r="H228" s="46"/>
      <c r="I228" s="42"/>
      <c r="J228" s="214"/>
      <c r="K228" s="37"/>
      <c r="L228" s="38"/>
      <c r="M228" s="38"/>
      <c r="N228" s="37"/>
      <c r="O228" s="39"/>
      <c r="P228" s="53"/>
      <c r="Q228" s="55"/>
      <c r="R228" s="137" t="s">
        <v>600</v>
      </c>
      <c r="S228" s="136" t="s">
        <v>600</v>
      </c>
      <c r="T228" s="136" t="s">
        <v>17</v>
      </c>
      <c r="U228" s="136" t="s">
        <v>17</v>
      </c>
      <c r="V228" s="136"/>
      <c r="W228" s="136"/>
      <c r="X228" s="263"/>
      <c r="Y228" s="1" t="str">
        <f t="shared" si="2"/>
        <v>_</v>
      </c>
      <c r="Z228" s="1" t="str">
        <f t="shared" si="3"/>
        <v>_</v>
      </c>
    </row>
    <row r="229" spans="1:31" s="16" customFormat="1" ht="14.25" customHeight="1" outlineLevel="1" x14ac:dyDescent="0.2">
      <c r="A229" s="31"/>
      <c r="B229" s="81"/>
      <c r="C229" s="82"/>
      <c r="D229" s="89"/>
      <c r="E229" s="91"/>
      <c r="F229" s="92"/>
      <c r="G229" s="93"/>
      <c r="H229" s="46"/>
      <c r="I229" s="42"/>
      <c r="J229" s="214"/>
      <c r="K229" s="37"/>
      <c r="L229" s="38"/>
      <c r="M229" s="38"/>
      <c r="N229" s="37"/>
      <c r="O229" s="39"/>
      <c r="P229" s="53"/>
      <c r="Q229" s="55"/>
      <c r="R229" s="137" t="s">
        <v>600</v>
      </c>
      <c r="S229" s="136" t="s">
        <v>600</v>
      </c>
      <c r="T229" s="136" t="s">
        <v>17</v>
      </c>
      <c r="U229" s="136" t="s">
        <v>17</v>
      </c>
      <c r="V229" s="136"/>
      <c r="W229" s="136"/>
      <c r="X229" s="263"/>
      <c r="Y229" s="1" t="str">
        <f t="shared" si="2"/>
        <v>_</v>
      </c>
      <c r="Z229" s="1" t="str">
        <f t="shared" si="3"/>
        <v>_</v>
      </c>
    </row>
    <row r="230" spans="1:31" s="16" customFormat="1" ht="14.25" customHeight="1" outlineLevel="1" x14ac:dyDescent="0.2">
      <c r="A230" s="31"/>
      <c r="B230" s="81"/>
      <c r="C230" s="82"/>
      <c r="D230" s="89"/>
      <c r="E230" s="91"/>
      <c r="F230" s="92"/>
      <c r="G230" s="93"/>
      <c r="H230" s="46"/>
      <c r="I230" s="42"/>
      <c r="J230" s="214"/>
      <c r="K230" s="37"/>
      <c r="L230" s="38"/>
      <c r="M230" s="38"/>
      <c r="N230" s="37"/>
      <c r="O230" s="39"/>
      <c r="P230" s="53"/>
      <c r="Q230" s="55"/>
      <c r="R230" s="137" t="s">
        <v>600</v>
      </c>
      <c r="S230" s="136" t="s">
        <v>600</v>
      </c>
      <c r="T230" s="136" t="s">
        <v>17</v>
      </c>
      <c r="U230" s="136" t="s">
        <v>17</v>
      </c>
      <c r="V230" s="136"/>
      <c r="W230" s="136"/>
      <c r="X230" s="263"/>
      <c r="Y230" s="1" t="str">
        <f t="shared" si="2"/>
        <v>_</v>
      </c>
      <c r="Z230" s="1" t="str">
        <f t="shared" si="3"/>
        <v>_</v>
      </c>
    </row>
    <row r="231" spans="1:31" s="16" customFormat="1" ht="14.25" customHeight="1" outlineLevel="1" x14ac:dyDescent="0.2">
      <c r="A231" s="31"/>
      <c r="B231" s="81"/>
      <c r="C231" s="82"/>
      <c r="D231" s="89"/>
      <c r="E231" s="91"/>
      <c r="F231" s="92"/>
      <c r="G231" s="93"/>
      <c r="H231" s="46"/>
      <c r="I231" s="42"/>
      <c r="J231" s="214"/>
      <c r="K231" s="37"/>
      <c r="L231" s="38"/>
      <c r="M231" s="38"/>
      <c r="N231" s="37"/>
      <c r="O231" s="39"/>
      <c r="P231" s="53"/>
      <c r="Q231" s="55"/>
      <c r="R231" s="137" t="s">
        <v>600</v>
      </c>
      <c r="S231" s="136" t="s">
        <v>600</v>
      </c>
      <c r="T231" s="136" t="s">
        <v>17</v>
      </c>
      <c r="U231" s="136" t="s">
        <v>17</v>
      </c>
      <c r="V231" s="136"/>
      <c r="W231" s="136"/>
      <c r="X231" s="263"/>
      <c r="Y231" s="1" t="str">
        <f t="shared" si="2"/>
        <v>_</v>
      </c>
      <c r="Z231" s="1" t="str">
        <f t="shared" si="3"/>
        <v>_</v>
      </c>
    </row>
    <row r="232" spans="1:31" s="16" customFormat="1" ht="14.25" customHeight="1" outlineLevel="1" x14ac:dyDescent="0.2">
      <c r="A232" s="31"/>
      <c r="B232" s="81"/>
      <c r="C232" s="82"/>
      <c r="D232" s="89"/>
      <c r="E232" s="91"/>
      <c r="F232" s="92"/>
      <c r="G232" s="93"/>
      <c r="H232" s="46"/>
      <c r="I232" s="42"/>
      <c r="J232" s="214"/>
      <c r="K232" s="37"/>
      <c r="L232" s="38"/>
      <c r="M232" s="38"/>
      <c r="N232" s="37"/>
      <c r="O232" s="39"/>
      <c r="P232" s="53"/>
      <c r="Q232" s="55"/>
      <c r="R232" s="137" t="s">
        <v>600</v>
      </c>
      <c r="S232" s="136" t="s">
        <v>600</v>
      </c>
      <c r="T232" s="136" t="s">
        <v>17</v>
      </c>
      <c r="U232" s="136" t="s">
        <v>17</v>
      </c>
      <c r="V232" s="136"/>
      <c r="W232" s="136"/>
      <c r="X232" s="263"/>
      <c r="Y232" s="1" t="str">
        <f t="shared" si="2"/>
        <v>_</v>
      </c>
      <c r="Z232" s="1" t="str">
        <f t="shared" si="3"/>
        <v>_</v>
      </c>
    </row>
    <row r="233" spans="1:31" s="16" customFormat="1" ht="14.25" customHeight="1" outlineLevel="1" x14ac:dyDescent="0.2">
      <c r="A233" s="31"/>
      <c r="B233" s="81"/>
      <c r="C233" s="82"/>
      <c r="D233" s="89"/>
      <c r="E233" s="91"/>
      <c r="F233" s="92"/>
      <c r="G233" s="93"/>
      <c r="H233" s="46"/>
      <c r="I233" s="42"/>
      <c r="J233" s="214"/>
      <c r="K233" s="37"/>
      <c r="L233" s="38"/>
      <c r="M233" s="38"/>
      <c r="N233" s="37"/>
      <c r="O233" s="39"/>
      <c r="P233" s="53"/>
      <c r="Q233" s="55"/>
      <c r="R233" s="137" t="s">
        <v>600</v>
      </c>
      <c r="S233" s="136" t="s">
        <v>600</v>
      </c>
      <c r="T233" s="136" t="s">
        <v>17</v>
      </c>
      <c r="U233" s="136" t="s">
        <v>17</v>
      </c>
      <c r="V233" s="136"/>
      <c r="W233" s="136"/>
      <c r="X233" s="263"/>
      <c r="Y233" s="1" t="str">
        <f t="shared" si="2"/>
        <v>_</v>
      </c>
      <c r="Z233" s="1" t="str">
        <f t="shared" si="3"/>
        <v>_</v>
      </c>
    </row>
    <row r="234" spans="1:31" s="16" customFormat="1" ht="14.25" customHeight="1" outlineLevel="1" x14ac:dyDescent="0.2">
      <c r="A234" s="31"/>
      <c r="B234" s="81"/>
      <c r="C234" s="82"/>
      <c r="D234" s="89"/>
      <c r="E234" s="91"/>
      <c r="F234" s="92"/>
      <c r="G234" s="93"/>
      <c r="H234" s="46"/>
      <c r="I234" s="42"/>
      <c r="J234" s="214"/>
      <c r="K234" s="37"/>
      <c r="L234" s="38"/>
      <c r="M234" s="38"/>
      <c r="N234" s="37"/>
      <c r="O234" s="39"/>
      <c r="P234" s="53"/>
      <c r="Q234" s="55"/>
      <c r="R234" s="137" t="s">
        <v>600</v>
      </c>
      <c r="S234" s="136" t="s">
        <v>600</v>
      </c>
      <c r="T234" s="136" t="s">
        <v>17</v>
      </c>
      <c r="U234" s="136" t="s">
        <v>17</v>
      </c>
      <c r="V234" s="136"/>
      <c r="W234" s="136"/>
      <c r="X234" s="263"/>
      <c r="Y234" s="1" t="str">
        <f t="shared" si="2"/>
        <v>_</v>
      </c>
      <c r="Z234" s="1" t="str">
        <f t="shared" si="3"/>
        <v>_</v>
      </c>
    </row>
    <row r="235" spans="1:31" s="16" customFormat="1" ht="14.25" customHeight="1" outlineLevel="1" x14ac:dyDescent="0.2">
      <c r="A235" s="31"/>
      <c r="B235" s="81"/>
      <c r="C235" s="82"/>
      <c r="D235" s="89"/>
      <c r="E235" s="91"/>
      <c r="F235" s="92"/>
      <c r="G235" s="93"/>
      <c r="H235" s="46"/>
      <c r="I235" s="42"/>
      <c r="J235" s="214"/>
      <c r="K235" s="37"/>
      <c r="L235" s="38"/>
      <c r="M235" s="38"/>
      <c r="N235" s="37"/>
      <c r="O235" s="39"/>
      <c r="P235" s="53"/>
      <c r="Q235" s="55"/>
      <c r="R235" s="137" t="s">
        <v>600</v>
      </c>
      <c r="S235" s="136" t="s">
        <v>600</v>
      </c>
      <c r="T235" s="136" t="s">
        <v>17</v>
      </c>
      <c r="U235" s="136" t="s">
        <v>17</v>
      </c>
      <c r="V235" s="136"/>
      <c r="W235" s="136"/>
      <c r="X235" s="263"/>
      <c r="Y235" s="1" t="str">
        <f t="shared" si="2"/>
        <v>_</v>
      </c>
      <c r="Z235" s="1" t="str">
        <f t="shared" si="3"/>
        <v>_</v>
      </c>
    </row>
    <row r="236" spans="1:31" s="16" customFormat="1" ht="14.25" customHeight="1" outlineLevel="1" x14ac:dyDescent="0.2">
      <c r="A236" s="31"/>
      <c r="B236" s="81"/>
      <c r="C236" s="82"/>
      <c r="D236" s="89"/>
      <c r="E236" s="91"/>
      <c r="F236" s="92"/>
      <c r="G236" s="93"/>
      <c r="H236" s="46"/>
      <c r="I236" s="42"/>
      <c r="J236" s="214"/>
      <c r="K236" s="37"/>
      <c r="L236" s="38"/>
      <c r="M236" s="38"/>
      <c r="N236" s="37"/>
      <c r="O236" s="39"/>
      <c r="P236" s="53"/>
      <c r="Q236" s="55"/>
      <c r="R236" s="137" t="s">
        <v>600</v>
      </c>
      <c r="S236" s="136" t="s">
        <v>600</v>
      </c>
      <c r="T236" s="136" t="s">
        <v>17</v>
      </c>
      <c r="U236" s="136" t="s">
        <v>17</v>
      </c>
      <c r="V236" s="136"/>
      <c r="W236" s="136"/>
      <c r="X236" s="263"/>
      <c r="Y236" s="1" t="str">
        <f t="shared" si="2"/>
        <v>_</v>
      </c>
      <c r="Z236" s="1" t="str">
        <f t="shared" si="3"/>
        <v>_</v>
      </c>
    </row>
    <row r="237" spans="1:31" s="16" customFormat="1" ht="14.25" customHeight="1" outlineLevel="1" x14ac:dyDescent="0.2">
      <c r="A237" s="31"/>
      <c r="B237" s="81"/>
      <c r="C237" s="82"/>
      <c r="D237" s="89"/>
      <c r="E237" s="91"/>
      <c r="F237" s="92"/>
      <c r="G237" s="93"/>
      <c r="H237" s="46"/>
      <c r="I237" s="42"/>
      <c r="J237" s="214"/>
      <c r="K237" s="37"/>
      <c r="L237" s="38"/>
      <c r="M237" s="38"/>
      <c r="N237" s="37"/>
      <c r="O237" s="39"/>
      <c r="P237" s="53"/>
      <c r="Q237" s="55"/>
      <c r="R237" s="137" t="s">
        <v>600</v>
      </c>
      <c r="S237" s="136" t="s">
        <v>600</v>
      </c>
      <c r="T237" s="136" t="s">
        <v>17</v>
      </c>
      <c r="U237" s="136" t="s">
        <v>17</v>
      </c>
      <c r="V237" s="136"/>
      <c r="W237" s="136"/>
      <c r="X237" s="263"/>
      <c r="Y237" s="1" t="str">
        <f t="shared" si="2"/>
        <v>_</v>
      </c>
      <c r="Z237" s="1" t="str">
        <f t="shared" si="3"/>
        <v>_</v>
      </c>
    </row>
    <row r="238" spans="1:31" s="16" customFormat="1" ht="14.25" customHeight="1" outlineLevel="1" x14ac:dyDescent="0.2">
      <c r="A238" s="31"/>
      <c r="B238" s="81"/>
      <c r="C238" s="82"/>
      <c r="D238" s="89"/>
      <c r="E238" s="91"/>
      <c r="F238" s="92"/>
      <c r="G238" s="93"/>
      <c r="H238" s="46"/>
      <c r="I238" s="42"/>
      <c r="J238" s="214"/>
      <c r="K238" s="37"/>
      <c r="L238" s="38"/>
      <c r="M238" s="38"/>
      <c r="N238" s="37"/>
      <c r="O238" s="39"/>
      <c r="P238" s="53"/>
      <c r="Q238" s="55"/>
      <c r="R238" s="137" t="s">
        <v>600</v>
      </c>
      <c r="S238" s="136" t="s">
        <v>600</v>
      </c>
      <c r="T238" s="136" t="s">
        <v>17</v>
      </c>
      <c r="U238" s="136" t="s">
        <v>17</v>
      </c>
      <c r="V238" s="136"/>
      <c r="W238" s="136"/>
      <c r="X238" s="263"/>
      <c r="Y238" s="1" t="str">
        <f t="shared" si="2"/>
        <v>_</v>
      </c>
      <c r="Z238" s="1" t="str">
        <f t="shared" si="3"/>
        <v>_</v>
      </c>
      <c r="AA238" s="25"/>
      <c r="AB238" s="25"/>
      <c r="AC238" s="25"/>
      <c r="AD238" s="25"/>
      <c r="AE238" s="25"/>
    </row>
    <row r="239" spans="1:31" s="16" customFormat="1" ht="14.25" customHeight="1" outlineLevel="1" x14ac:dyDescent="0.2">
      <c r="A239" s="31"/>
      <c r="B239" s="81"/>
      <c r="C239" s="82"/>
      <c r="D239" s="89"/>
      <c r="E239" s="91"/>
      <c r="F239" s="92"/>
      <c r="G239" s="93"/>
      <c r="H239" s="46"/>
      <c r="I239" s="42"/>
      <c r="J239" s="214"/>
      <c r="K239" s="37"/>
      <c r="L239" s="38"/>
      <c r="M239" s="38"/>
      <c r="N239" s="37"/>
      <c r="O239" s="39"/>
      <c r="P239" s="53"/>
      <c r="Q239" s="55"/>
      <c r="R239" s="137" t="s">
        <v>600</v>
      </c>
      <c r="S239" s="136" t="s">
        <v>600</v>
      </c>
      <c r="T239" s="136" t="s">
        <v>17</v>
      </c>
      <c r="U239" s="136" t="s">
        <v>17</v>
      </c>
      <c r="V239" s="136"/>
      <c r="W239" s="136"/>
      <c r="X239" s="263"/>
      <c r="Y239" s="1" t="str">
        <f t="shared" si="2"/>
        <v>_</v>
      </c>
      <c r="Z239" s="1" t="str">
        <f t="shared" si="3"/>
        <v>_</v>
      </c>
      <c r="AA239" s="25"/>
      <c r="AB239" s="25"/>
      <c r="AC239" s="25"/>
      <c r="AD239" s="25"/>
      <c r="AE239" s="25"/>
    </row>
    <row r="240" spans="1:31" s="16" customFormat="1" ht="14.25" customHeight="1" outlineLevel="1" x14ac:dyDescent="0.2">
      <c r="A240" s="31"/>
      <c r="B240" s="81"/>
      <c r="C240" s="82"/>
      <c r="D240" s="89"/>
      <c r="E240" s="91"/>
      <c r="F240" s="92"/>
      <c r="G240" s="93"/>
      <c r="H240" s="46"/>
      <c r="I240" s="42"/>
      <c r="J240" s="214"/>
      <c r="K240" s="37"/>
      <c r="L240" s="38"/>
      <c r="M240" s="38"/>
      <c r="N240" s="37"/>
      <c r="O240" s="39"/>
      <c r="P240" s="53"/>
      <c r="Q240" s="55"/>
      <c r="R240" s="137" t="s">
        <v>600</v>
      </c>
      <c r="S240" s="136" t="s">
        <v>600</v>
      </c>
      <c r="T240" s="136" t="s">
        <v>17</v>
      </c>
      <c r="U240" s="136" t="s">
        <v>17</v>
      </c>
      <c r="V240" s="136"/>
      <c r="W240" s="136"/>
      <c r="X240" s="263"/>
      <c r="Y240" s="1" t="str">
        <f t="shared" si="2"/>
        <v>_</v>
      </c>
      <c r="Z240" s="1" t="str">
        <f t="shared" si="3"/>
        <v>_</v>
      </c>
      <c r="AA240" s="25"/>
      <c r="AB240" s="25"/>
      <c r="AC240" s="25"/>
      <c r="AD240" s="25"/>
      <c r="AE240" s="25"/>
    </row>
    <row r="241" spans="1:31" s="16" customFormat="1" ht="14.25" customHeight="1" outlineLevel="1" x14ac:dyDescent="0.2">
      <c r="A241" s="31"/>
      <c r="B241" s="81"/>
      <c r="C241" s="82"/>
      <c r="D241" s="89"/>
      <c r="E241" s="91"/>
      <c r="F241" s="92"/>
      <c r="G241" s="93"/>
      <c r="H241" s="46"/>
      <c r="I241" s="42"/>
      <c r="J241" s="214"/>
      <c r="K241" s="37"/>
      <c r="L241" s="38"/>
      <c r="M241" s="38"/>
      <c r="N241" s="37"/>
      <c r="O241" s="39"/>
      <c r="P241" s="53"/>
      <c r="Q241" s="55"/>
      <c r="R241" s="137" t="s">
        <v>600</v>
      </c>
      <c r="S241" s="136" t="s">
        <v>600</v>
      </c>
      <c r="T241" s="136" t="s">
        <v>17</v>
      </c>
      <c r="U241" s="136" t="s">
        <v>17</v>
      </c>
      <c r="V241" s="136"/>
      <c r="W241" s="136"/>
      <c r="X241" s="263"/>
      <c r="Y241" s="1" t="str">
        <f t="shared" si="2"/>
        <v>_</v>
      </c>
      <c r="Z241" s="1" t="str">
        <f t="shared" si="3"/>
        <v>_</v>
      </c>
      <c r="AA241" s="25"/>
      <c r="AB241" s="25"/>
      <c r="AC241" s="25"/>
      <c r="AD241" s="25"/>
      <c r="AE241" s="25"/>
    </row>
    <row r="242" spans="1:31" s="16" customFormat="1" ht="14.25" customHeight="1" outlineLevel="1" x14ac:dyDescent="0.2">
      <c r="A242" s="31"/>
      <c r="B242" s="81"/>
      <c r="C242" s="82"/>
      <c r="D242" s="89"/>
      <c r="E242" s="91"/>
      <c r="F242" s="92"/>
      <c r="G242" s="93"/>
      <c r="H242" s="46"/>
      <c r="I242" s="42"/>
      <c r="J242" s="214"/>
      <c r="K242" s="37"/>
      <c r="L242" s="38"/>
      <c r="M242" s="38"/>
      <c r="N242" s="37"/>
      <c r="O242" s="39"/>
      <c r="P242" s="53"/>
      <c r="Q242" s="55"/>
      <c r="R242" s="137" t="s">
        <v>600</v>
      </c>
      <c r="S242" s="136" t="s">
        <v>600</v>
      </c>
      <c r="T242" s="136" t="s">
        <v>17</v>
      </c>
      <c r="U242" s="136" t="s">
        <v>17</v>
      </c>
      <c r="V242" s="136"/>
      <c r="W242" s="136"/>
      <c r="X242" s="263"/>
      <c r="Y242" s="1" t="str">
        <f t="shared" si="2"/>
        <v>_</v>
      </c>
      <c r="Z242" s="1" t="str">
        <f t="shared" si="3"/>
        <v>_</v>
      </c>
      <c r="AA242" s="25"/>
      <c r="AB242" s="25"/>
      <c r="AC242" s="25"/>
      <c r="AD242" s="25"/>
      <c r="AE242" s="25"/>
    </row>
    <row r="243" spans="1:31" s="16" customFormat="1" ht="14.25" customHeight="1" outlineLevel="1" x14ac:dyDescent="0.2">
      <c r="A243" s="31"/>
      <c r="B243" s="81"/>
      <c r="C243" s="82"/>
      <c r="D243" s="89"/>
      <c r="E243" s="91"/>
      <c r="F243" s="92"/>
      <c r="G243" s="93"/>
      <c r="H243" s="46"/>
      <c r="I243" s="42"/>
      <c r="J243" s="214"/>
      <c r="K243" s="37"/>
      <c r="L243" s="38"/>
      <c r="M243" s="38"/>
      <c r="N243" s="37"/>
      <c r="O243" s="39"/>
      <c r="P243" s="53"/>
      <c r="Q243" s="55"/>
      <c r="R243" s="137" t="s">
        <v>600</v>
      </c>
      <c r="S243" s="136" t="s">
        <v>600</v>
      </c>
      <c r="T243" s="136" t="s">
        <v>17</v>
      </c>
      <c r="U243" s="136" t="s">
        <v>17</v>
      </c>
      <c r="V243" s="136"/>
      <c r="W243" s="136"/>
      <c r="X243" s="263"/>
      <c r="Y243" s="1" t="str">
        <f t="shared" si="2"/>
        <v>_</v>
      </c>
      <c r="Z243" s="1" t="str">
        <f t="shared" si="3"/>
        <v>_</v>
      </c>
      <c r="AA243" s="25"/>
      <c r="AB243" s="25"/>
      <c r="AC243" s="25"/>
      <c r="AD243" s="25"/>
      <c r="AE243" s="25"/>
    </row>
    <row r="244" spans="1:31" s="16" customFormat="1" ht="14.25" customHeight="1" outlineLevel="1" x14ac:dyDescent="0.2">
      <c r="A244" s="31"/>
      <c r="B244" s="81"/>
      <c r="C244" s="82"/>
      <c r="D244" s="89"/>
      <c r="E244" s="91"/>
      <c r="F244" s="92"/>
      <c r="G244" s="93"/>
      <c r="H244" s="46"/>
      <c r="I244" s="42"/>
      <c r="J244" s="214"/>
      <c r="K244" s="37"/>
      <c r="L244" s="38"/>
      <c r="M244" s="38"/>
      <c r="N244" s="37"/>
      <c r="O244" s="39"/>
      <c r="P244" s="53"/>
      <c r="Q244" s="55"/>
      <c r="R244" s="137" t="s">
        <v>600</v>
      </c>
      <c r="S244" s="136" t="s">
        <v>600</v>
      </c>
      <c r="T244" s="136" t="s">
        <v>17</v>
      </c>
      <c r="U244" s="136" t="s">
        <v>17</v>
      </c>
      <c r="V244" s="136"/>
      <c r="W244" s="136"/>
      <c r="X244" s="263"/>
      <c r="Y244" s="1" t="str">
        <f t="shared" si="2"/>
        <v>_</v>
      </c>
      <c r="Z244" s="1" t="str">
        <f t="shared" si="3"/>
        <v>_</v>
      </c>
      <c r="AA244" s="25"/>
      <c r="AB244" s="25"/>
      <c r="AC244" s="25"/>
      <c r="AD244" s="25"/>
      <c r="AE244" s="25"/>
    </row>
    <row r="245" spans="1:31" s="16" customFormat="1" ht="14.25" customHeight="1" outlineLevel="1" x14ac:dyDescent="0.2">
      <c r="A245" s="31"/>
      <c r="B245" s="81"/>
      <c r="C245" s="82"/>
      <c r="D245" s="89"/>
      <c r="E245" s="91"/>
      <c r="F245" s="92"/>
      <c r="G245" s="93"/>
      <c r="H245" s="46"/>
      <c r="I245" s="42"/>
      <c r="J245" s="214"/>
      <c r="K245" s="37"/>
      <c r="L245" s="38"/>
      <c r="M245" s="38"/>
      <c r="N245" s="37"/>
      <c r="O245" s="39"/>
      <c r="P245" s="53"/>
      <c r="Q245" s="55"/>
      <c r="R245" s="137" t="s">
        <v>600</v>
      </c>
      <c r="S245" s="136" t="s">
        <v>600</v>
      </c>
      <c r="T245" s="136" t="s">
        <v>17</v>
      </c>
      <c r="U245" s="136" t="s">
        <v>17</v>
      </c>
      <c r="V245" s="136"/>
      <c r="W245" s="136"/>
      <c r="X245" s="263"/>
      <c r="Y245" s="1" t="str">
        <f t="shared" si="2"/>
        <v>_</v>
      </c>
      <c r="Z245" s="1" t="str">
        <f t="shared" si="3"/>
        <v>_</v>
      </c>
      <c r="AA245" s="25"/>
      <c r="AB245" s="25"/>
      <c r="AC245" s="25"/>
      <c r="AD245" s="25"/>
      <c r="AE245" s="25"/>
    </row>
    <row r="246" spans="1:31" s="16" customFormat="1" ht="14.25" customHeight="1" outlineLevel="1" x14ac:dyDescent="0.2">
      <c r="A246" s="31"/>
      <c r="B246" s="81"/>
      <c r="C246" s="82"/>
      <c r="D246" s="89"/>
      <c r="E246" s="91"/>
      <c r="F246" s="92"/>
      <c r="G246" s="93"/>
      <c r="H246" s="46"/>
      <c r="I246" s="42"/>
      <c r="J246" s="214"/>
      <c r="K246" s="37"/>
      <c r="L246" s="38"/>
      <c r="M246" s="38"/>
      <c r="N246" s="37"/>
      <c r="O246" s="39"/>
      <c r="P246" s="53"/>
      <c r="Q246" s="55"/>
      <c r="R246" s="137" t="s">
        <v>600</v>
      </c>
      <c r="S246" s="136" t="s">
        <v>600</v>
      </c>
      <c r="T246" s="136" t="s">
        <v>17</v>
      </c>
      <c r="U246" s="136" t="s">
        <v>17</v>
      </c>
      <c r="V246" s="136"/>
      <c r="W246" s="136"/>
      <c r="X246" s="263"/>
      <c r="Y246" s="1" t="str">
        <f t="shared" si="2"/>
        <v>_</v>
      </c>
      <c r="Z246" s="1" t="str">
        <f t="shared" si="3"/>
        <v>_</v>
      </c>
      <c r="AA246" s="25"/>
      <c r="AB246" s="25"/>
      <c r="AC246" s="25"/>
      <c r="AD246" s="25"/>
      <c r="AE246" s="25"/>
    </row>
    <row r="247" spans="1:31" s="16" customFormat="1" ht="14.25" customHeight="1" outlineLevel="1" x14ac:dyDescent="0.2">
      <c r="A247" s="31"/>
      <c r="B247" s="81"/>
      <c r="C247" s="82"/>
      <c r="D247" s="89"/>
      <c r="E247" s="91"/>
      <c r="F247" s="92"/>
      <c r="G247" s="93"/>
      <c r="H247" s="46"/>
      <c r="I247" s="42"/>
      <c r="J247" s="214"/>
      <c r="K247" s="37"/>
      <c r="L247" s="38"/>
      <c r="M247" s="38"/>
      <c r="N247" s="37"/>
      <c r="O247" s="39"/>
      <c r="P247" s="53"/>
      <c r="Q247" s="55"/>
      <c r="R247" s="137" t="s">
        <v>600</v>
      </c>
      <c r="S247" s="136" t="s">
        <v>600</v>
      </c>
      <c r="T247" s="136" t="s">
        <v>17</v>
      </c>
      <c r="U247" s="136" t="s">
        <v>17</v>
      </c>
      <c r="V247" s="136"/>
      <c r="W247" s="136"/>
      <c r="X247" s="263"/>
      <c r="Y247" s="1" t="str">
        <f t="shared" ref="Y247:Y310" si="4">IF(K247&lt;&gt;"",K247,IF(B247&lt;&gt;"",B247,"_"))</f>
        <v>_</v>
      </c>
      <c r="Z247" s="1" t="str">
        <f t="shared" ref="Z247:Z310" si="5">IF(M247&lt;&gt;"",M247,IF(D247&lt;&gt;"",D247,"_"))</f>
        <v>_</v>
      </c>
      <c r="AA247" s="25"/>
      <c r="AB247" s="25"/>
      <c r="AC247" s="25"/>
      <c r="AD247" s="25"/>
      <c r="AE247" s="25"/>
    </row>
    <row r="248" spans="1:31" s="16" customFormat="1" ht="14.25" customHeight="1" outlineLevel="1" x14ac:dyDescent="0.2">
      <c r="A248" s="31"/>
      <c r="B248" s="81"/>
      <c r="C248" s="82"/>
      <c r="D248" s="89"/>
      <c r="E248" s="91"/>
      <c r="F248" s="92"/>
      <c r="G248" s="93"/>
      <c r="H248" s="46"/>
      <c r="I248" s="42"/>
      <c r="J248" s="214"/>
      <c r="K248" s="37"/>
      <c r="L248" s="38"/>
      <c r="M248" s="38"/>
      <c r="N248" s="37"/>
      <c r="O248" s="39"/>
      <c r="P248" s="53"/>
      <c r="Q248" s="55"/>
      <c r="R248" s="137" t="s">
        <v>600</v>
      </c>
      <c r="S248" s="136" t="s">
        <v>600</v>
      </c>
      <c r="T248" s="136" t="s">
        <v>17</v>
      </c>
      <c r="U248" s="136" t="s">
        <v>17</v>
      </c>
      <c r="V248" s="136"/>
      <c r="W248" s="136"/>
      <c r="X248" s="263"/>
      <c r="Y248" s="1" t="str">
        <f t="shared" si="4"/>
        <v>_</v>
      </c>
      <c r="Z248" s="1" t="str">
        <f t="shared" si="5"/>
        <v>_</v>
      </c>
      <c r="AA248" s="25"/>
      <c r="AB248" s="25"/>
      <c r="AC248" s="25"/>
      <c r="AD248" s="25"/>
      <c r="AE248" s="25"/>
    </row>
    <row r="249" spans="1:31" s="16" customFormat="1" ht="14.25" customHeight="1" outlineLevel="1" x14ac:dyDescent="0.2">
      <c r="A249" s="31"/>
      <c r="B249" s="81"/>
      <c r="C249" s="82"/>
      <c r="D249" s="89"/>
      <c r="E249" s="91"/>
      <c r="F249" s="92"/>
      <c r="G249" s="93"/>
      <c r="H249" s="46"/>
      <c r="I249" s="42"/>
      <c r="J249" s="214"/>
      <c r="K249" s="37"/>
      <c r="L249" s="38"/>
      <c r="M249" s="38"/>
      <c r="N249" s="37"/>
      <c r="O249" s="39"/>
      <c r="P249" s="53"/>
      <c r="Q249" s="55"/>
      <c r="R249" s="137" t="s">
        <v>600</v>
      </c>
      <c r="S249" s="136" t="s">
        <v>600</v>
      </c>
      <c r="T249" s="136" t="s">
        <v>17</v>
      </c>
      <c r="U249" s="136" t="s">
        <v>17</v>
      </c>
      <c r="V249" s="136"/>
      <c r="W249" s="136"/>
      <c r="X249" s="263"/>
      <c r="Y249" s="1" t="str">
        <f t="shared" si="4"/>
        <v>_</v>
      </c>
      <c r="Z249" s="1" t="str">
        <f t="shared" si="5"/>
        <v>_</v>
      </c>
      <c r="AA249" s="25"/>
      <c r="AB249" s="25"/>
      <c r="AC249" s="25"/>
      <c r="AD249" s="25"/>
      <c r="AE249" s="25"/>
    </row>
    <row r="250" spans="1:31" s="16" customFormat="1" ht="14.25" customHeight="1" outlineLevel="1" x14ac:dyDescent="0.2">
      <c r="A250" s="31"/>
      <c r="B250" s="81"/>
      <c r="C250" s="82"/>
      <c r="D250" s="89"/>
      <c r="E250" s="91"/>
      <c r="F250" s="92"/>
      <c r="G250" s="93"/>
      <c r="H250" s="46"/>
      <c r="I250" s="42"/>
      <c r="J250" s="214"/>
      <c r="K250" s="37"/>
      <c r="L250" s="38"/>
      <c r="M250" s="38"/>
      <c r="N250" s="37"/>
      <c r="O250" s="39"/>
      <c r="P250" s="53"/>
      <c r="Q250" s="55"/>
      <c r="R250" s="137" t="s">
        <v>600</v>
      </c>
      <c r="S250" s="136" t="s">
        <v>600</v>
      </c>
      <c r="T250" s="136" t="s">
        <v>17</v>
      </c>
      <c r="U250" s="136" t="s">
        <v>17</v>
      </c>
      <c r="V250" s="136"/>
      <c r="W250" s="136"/>
      <c r="X250" s="263"/>
      <c r="Y250" s="1" t="str">
        <f t="shared" si="4"/>
        <v>_</v>
      </c>
      <c r="Z250" s="1" t="str">
        <f t="shared" si="5"/>
        <v>_</v>
      </c>
      <c r="AA250" s="25"/>
      <c r="AB250" s="25"/>
      <c r="AC250" s="25"/>
      <c r="AD250" s="25"/>
      <c r="AE250" s="25"/>
    </row>
    <row r="251" spans="1:31" s="16" customFormat="1" ht="14.25" customHeight="1" outlineLevel="1" x14ac:dyDescent="0.2">
      <c r="A251" s="31"/>
      <c r="B251" s="81"/>
      <c r="C251" s="82"/>
      <c r="D251" s="89"/>
      <c r="E251" s="91"/>
      <c r="F251" s="92"/>
      <c r="G251" s="93"/>
      <c r="H251" s="46"/>
      <c r="I251" s="42"/>
      <c r="J251" s="214"/>
      <c r="K251" s="37"/>
      <c r="L251" s="38"/>
      <c r="M251" s="38"/>
      <c r="N251" s="37"/>
      <c r="O251" s="39"/>
      <c r="P251" s="53"/>
      <c r="Q251" s="55"/>
      <c r="R251" s="137" t="s">
        <v>600</v>
      </c>
      <c r="S251" s="136" t="s">
        <v>600</v>
      </c>
      <c r="T251" s="136" t="s">
        <v>17</v>
      </c>
      <c r="U251" s="136" t="s">
        <v>17</v>
      </c>
      <c r="V251" s="136"/>
      <c r="W251" s="136"/>
      <c r="X251" s="263"/>
      <c r="Y251" s="1" t="str">
        <f t="shared" si="4"/>
        <v>_</v>
      </c>
      <c r="Z251" s="1" t="str">
        <f t="shared" si="5"/>
        <v>_</v>
      </c>
      <c r="AA251" s="25"/>
      <c r="AB251" s="25"/>
      <c r="AC251" s="25"/>
      <c r="AD251" s="25"/>
      <c r="AE251" s="25"/>
    </row>
    <row r="252" spans="1:31" s="16" customFormat="1" ht="14.25" customHeight="1" outlineLevel="1" x14ac:dyDescent="0.2">
      <c r="A252" s="31"/>
      <c r="B252" s="81"/>
      <c r="C252" s="82"/>
      <c r="D252" s="89"/>
      <c r="E252" s="91"/>
      <c r="F252" s="92"/>
      <c r="G252" s="93"/>
      <c r="H252" s="46"/>
      <c r="I252" s="42"/>
      <c r="J252" s="214"/>
      <c r="K252" s="37"/>
      <c r="L252" s="38"/>
      <c r="M252" s="38"/>
      <c r="N252" s="37"/>
      <c r="O252" s="39"/>
      <c r="P252" s="53"/>
      <c r="Q252" s="55"/>
      <c r="R252" s="137" t="s">
        <v>600</v>
      </c>
      <c r="S252" s="136" t="s">
        <v>600</v>
      </c>
      <c r="T252" s="136" t="s">
        <v>17</v>
      </c>
      <c r="U252" s="136" t="s">
        <v>17</v>
      </c>
      <c r="V252" s="136"/>
      <c r="W252" s="136"/>
      <c r="X252" s="263"/>
      <c r="Y252" s="1" t="str">
        <f t="shared" si="4"/>
        <v>_</v>
      </c>
      <c r="Z252" s="1" t="str">
        <f t="shared" si="5"/>
        <v>_</v>
      </c>
      <c r="AA252" s="25"/>
      <c r="AB252" s="25"/>
      <c r="AC252" s="25"/>
      <c r="AD252" s="25"/>
      <c r="AE252" s="25"/>
    </row>
    <row r="253" spans="1:31" s="16" customFormat="1" ht="14.25" customHeight="1" outlineLevel="1" x14ac:dyDescent="0.2">
      <c r="A253" s="31"/>
      <c r="B253" s="81"/>
      <c r="C253" s="82"/>
      <c r="D253" s="89"/>
      <c r="E253" s="91"/>
      <c r="F253" s="92"/>
      <c r="G253" s="93"/>
      <c r="H253" s="46"/>
      <c r="I253" s="42"/>
      <c r="J253" s="214"/>
      <c r="K253" s="37"/>
      <c r="L253" s="38"/>
      <c r="M253" s="38"/>
      <c r="N253" s="37"/>
      <c r="O253" s="39"/>
      <c r="P253" s="53"/>
      <c r="Q253" s="55"/>
      <c r="R253" s="137" t="s">
        <v>600</v>
      </c>
      <c r="S253" s="136" t="s">
        <v>600</v>
      </c>
      <c r="T253" s="136" t="s">
        <v>17</v>
      </c>
      <c r="U253" s="136" t="s">
        <v>17</v>
      </c>
      <c r="V253" s="136"/>
      <c r="W253" s="136"/>
      <c r="X253" s="263"/>
      <c r="Y253" s="1" t="str">
        <f t="shared" si="4"/>
        <v>_</v>
      </c>
      <c r="Z253" s="1" t="str">
        <f t="shared" si="5"/>
        <v>_</v>
      </c>
      <c r="AA253" s="25"/>
      <c r="AB253" s="25"/>
      <c r="AC253" s="25"/>
      <c r="AD253" s="25"/>
      <c r="AE253" s="25"/>
    </row>
    <row r="254" spans="1:31" s="16" customFormat="1" ht="14.25" customHeight="1" outlineLevel="1" x14ac:dyDescent="0.2">
      <c r="A254" s="31"/>
      <c r="B254" s="81"/>
      <c r="C254" s="82"/>
      <c r="D254" s="89"/>
      <c r="E254" s="91"/>
      <c r="F254" s="92"/>
      <c r="G254" s="93"/>
      <c r="H254" s="46"/>
      <c r="I254" s="42"/>
      <c r="J254" s="214"/>
      <c r="K254" s="37"/>
      <c r="L254" s="38"/>
      <c r="M254" s="38"/>
      <c r="N254" s="37"/>
      <c r="O254" s="39"/>
      <c r="P254" s="53"/>
      <c r="Q254" s="55"/>
      <c r="R254" s="137" t="s">
        <v>600</v>
      </c>
      <c r="S254" s="136" t="s">
        <v>600</v>
      </c>
      <c r="T254" s="136" t="s">
        <v>17</v>
      </c>
      <c r="U254" s="136" t="s">
        <v>17</v>
      </c>
      <c r="V254" s="136"/>
      <c r="W254" s="136"/>
      <c r="X254" s="263"/>
      <c r="Y254" s="1" t="str">
        <f t="shared" si="4"/>
        <v>_</v>
      </c>
      <c r="Z254" s="1" t="str">
        <f t="shared" si="5"/>
        <v>_</v>
      </c>
      <c r="AA254" s="25"/>
      <c r="AB254" s="25"/>
      <c r="AC254" s="25"/>
      <c r="AD254" s="25"/>
      <c r="AE254" s="25"/>
    </row>
    <row r="255" spans="1:31" s="16" customFormat="1" ht="14.25" customHeight="1" outlineLevel="1" x14ac:dyDescent="0.2">
      <c r="A255" s="31"/>
      <c r="B255" s="81"/>
      <c r="C255" s="82"/>
      <c r="D255" s="89"/>
      <c r="E255" s="91"/>
      <c r="F255" s="92"/>
      <c r="G255" s="93"/>
      <c r="H255" s="46"/>
      <c r="I255" s="42"/>
      <c r="J255" s="214"/>
      <c r="K255" s="37"/>
      <c r="L255" s="38"/>
      <c r="M255" s="38"/>
      <c r="N255" s="37"/>
      <c r="O255" s="39"/>
      <c r="P255" s="53"/>
      <c r="Q255" s="55"/>
      <c r="R255" s="137" t="s">
        <v>600</v>
      </c>
      <c r="S255" s="136" t="s">
        <v>600</v>
      </c>
      <c r="T255" s="136" t="s">
        <v>17</v>
      </c>
      <c r="U255" s="136" t="s">
        <v>17</v>
      </c>
      <c r="V255" s="136"/>
      <c r="W255" s="136"/>
      <c r="X255" s="263"/>
      <c r="Y255" s="1" t="str">
        <f t="shared" si="4"/>
        <v>_</v>
      </c>
      <c r="Z255" s="1" t="str">
        <f t="shared" si="5"/>
        <v>_</v>
      </c>
      <c r="AA255" s="25"/>
      <c r="AB255" s="25"/>
      <c r="AC255" s="25"/>
      <c r="AD255" s="25"/>
      <c r="AE255" s="25"/>
    </row>
    <row r="256" spans="1:31" s="16" customFormat="1" ht="14.25" customHeight="1" outlineLevel="1" x14ac:dyDescent="0.2">
      <c r="A256" s="31"/>
      <c r="B256" s="81"/>
      <c r="C256" s="82"/>
      <c r="D256" s="89"/>
      <c r="E256" s="91"/>
      <c r="F256" s="92"/>
      <c r="G256" s="93"/>
      <c r="H256" s="46"/>
      <c r="I256" s="42"/>
      <c r="J256" s="214"/>
      <c r="K256" s="37"/>
      <c r="L256" s="38"/>
      <c r="M256" s="38"/>
      <c r="N256" s="37"/>
      <c r="O256" s="39"/>
      <c r="P256" s="53"/>
      <c r="Q256" s="55"/>
      <c r="R256" s="137" t="s">
        <v>600</v>
      </c>
      <c r="S256" s="136" t="s">
        <v>600</v>
      </c>
      <c r="T256" s="136" t="s">
        <v>17</v>
      </c>
      <c r="U256" s="136" t="s">
        <v>17</v>
      </c>
      <c r="V256" s="136"/>
      <c r="W256" s="136"/>
      <c r="X256" s="263"/>
      <c r="Y256" s="1" t="str">
        <f t="shared" si="4"/>
        <v>_</v>
      </c>
      <c r="Z256" s="1" t="str">
        <f t="shared" si="5"/>
        <v>_</v>
      </c>
      <c r="AA256" s="25"/>
      <c r="AB256" s="25"/>
      <c r="AC256" s="25"/>
      <c r="AD256" s="25"/>
      <c r="AE256" s="25"/>
    </row>
    <row r="257" spans="1:31" s="16" customFormat="1" ht="14.25" customHeight="1" outlineLevel="1" x14ac:dyDescent="0.2">
      <c r="A257" s="31"/>
      <c r="B257" s="81"/>
      <c r="C257" s="82"/>
      <c r="D257" s="89"/>
      <c r="E257" s="91"/>
      <c r="F257" s="92"/>
      <c r="G257" s="93"/>
      <c r="H257" s="46"/>
      <c r="I257" s="42"/>
      <c r="J257" s="214"/>
      <c r="K257" s="37"/>
      <c r="L257" s="38"/>
      <c r="M257" s="38"/>
      <c r="N257" s="37"/>
      <c r="O257" s="39"/>
      <c r="P257" s="53"/>
      <c r="Q257" s="55"/>
      <c r="R257" s="137" t="s">
        <v>600</v>
      </c>
      <c r="S257" s="136" t="s">
        <v>600</v>
      </c>
      <c r="T257" s="136" t="s">
        <v>17</v>
      </c>
      <c r="U257" s="136" t="s">
        <v>17</v>
      </c>
      <c r="V257" s="136"/>
      <c r="W257" s="136"/>
      <c r="X257" s="263"/>
      <c r="Y257" s="1" t="str">
        <f t="shared" si="4"/>
        <v>_</v>
      </c>
      <c r="Z257" s="1" t="str">
        <f t="shared" si="5"/>
        <v>_</v>
      </c>
      <c r="AA257" s="25"/>
      <c r="AB257" s="25"/>
      <c r="AC257" s="25"/>
      <c r="AD257" s="25"/>
      <c r="AE257" s="25"/>
    </row>
    <row r="258" spans="1:31" s="16" customFormat="1" ht="14.25" customHeight="1" outlineLevel="1" x14ac:dyDescent="0.2">
      <c r="A258" s="31"/>
      <c r="B258" s="81"/>
      <c r="C258" s="82"/>
      <c r="D258" s="89"/>
      <c r="E258" s="91"/>
      <c r="F258" s="92"/>
      <c r="G258" s="93"/>
      <c r="H258" s="46"/>
      <c r="I258" s="42"/>
      <c r="J258" s="214"/>
      <c r="K258" s="37"/>
      <c r="L258" s="38"/>
      <c r="M258" s="38"/>
      <c r="N258" s="37"/>
      <c r="O258" s="39"/>
      <c r="P258" s="53"/>
      <c r="Q258" s="55"/>
      <c r="R258" s="137" t="s">
        <v>600</v>
      </c>
      <c r="S258" s="136" t="s">
        <v>600</v>
      </c>
      <c r="T258" s="136" t="s">
        <v>17</v>
      </c>
      <c r="U258" s="136" t="s">
        <v>17</v>
      </c>
      <c r="V258" s="136"/>
      <c r="W258" s="136"/>
      <c r="X258" s="263"/>
      <c r="Y258" s="1" t="str">
        <f t="shared" si="4"/>
        <v>_</v>
      </c>
      <c r="Z258" s="1" t="str">
        <f t="shared" si="5"/>
        <v>_</v>
      </c>
      <c r="AA258" s="25"/>
      <c r="AB258" s="25"/>
      <c r="AC258" s="25"/>
      <c r="AD258" s="25"/>
      <c r="AE258" s="25"/>
    </row>
    <row r="259" spans="1:31" s="16" customFormat="1" ht="14.25" customHeight="1" outlineLevel="1" x14ac:dyDescent="0.2">
      <c r="A259" s="31"/>
      <c r="B259" s="81"/>
      <c r="C259" s="82"/>
      <c r="D259" s="89"/>
      <c r="E259" s="91"/>
      <c r="F259" s="92"/>
      <c r="G259" s="93"/>
      <c r="H259" s="46"/>
      <c r="I259" s="42"/>
      <c r="J259" s="214"/>
      <c r="K259" s="37"/>
      <c r="L259" s="38"/>
      <c r="M259" s="38"/>
      <c r="N259" s="37"/>
      <c r="O259" s="39"/>
      <c r="P259" s="53"/>
      <c r="Q259" s="55"/>
      <c r="R259" s="137" t="s">
        <v>600</v>
      </c>
      <c r="S259" s="136" t="s">
        <v>600</v>
      </c>
      <c r="T259" s="136" t="s">
        <v>17</v>
      </c>
      <c r="U259" s="136" t="s">
        <v>17</v>
      </c>
      <c r="V259" s="136"/>
      <c r="W259" s="136"/>
      <c r="X259" s="263"/>
      <c r="Y259" s="1" t="str">
        <f t="shared" si="4"/>
        <v>_</v>
      </c>
      <c r="Z259" s="1" t="str">
        <f t="shared" si="5"/>
        <v>_</v>
      </c>
      <c r="AA259" s="25"/>
      <c r="AB259" s="25"/>
      <c r="AC259" s="25"/>
      <c r="AD259" s="25"/>
      <c r="AE259" s="25"/>
    </row>
    <row r="260" spans="1:31" s="16" customFormat="1" ht="14.25" customHeight="1" outlineLevel="1" x14ac:dyDescent="0.2">
      <c r="A260" s="31"/>
      <c r="B260" s="81"/>
      <c r="C260" s="82"/>
      <c r="D260" s="89"/>
      <c r="E260" s="91"/>
      <c r="F260" s="92"/>
      <c r="G260" s="93"/>
      <c r="H260" s="46"/>
      <c r="I260" s="42"/>
      <c r="J260" s="214"/>
      <c r="K260" s="37"/>
      <c r="L260" s="38"/>
      <c r="M260" s="38"/>
      <c r="N260" s="37"/>
      <c r="O260" s="39"/>
      <c r="P260" s="53"/>
      <c r="Q260" s="55"/>
      <c r="R260" s="137" t="s">
        <v>600</v>
      </c>
      <c r="S260" s="136" t="s">
        <v>600</v>
      </c>
      <c r="T260" s="136" t="s">
        <v>17</v>
      </c>
      <c r="U260" s="136" t="s">
        <v>17</v>
      </c>
      <c r="V260" s="136"/>
      <c r="W260" s="136"/>
      <c r="X260" s="263"/>
      <c r="Y260" s="1" t="str">
        <f t="shared" si="4"/>
        <v>_</v>
      </c>
      <c r="Z260" s="1" t="str">
        <f t="shared" si="5"/>
        <v>_</v>
      </c>
      <c r="AA260" s="25"/>
      <c r="AB260" s="25"/>
      <c r="AC260" s="25"/>
      <c r="AD260" s="25"/>
      <c r="AE260" s="25"/>
    </row>
    <row r="261" spans="1:31" s="16" customFormat="1" ht="14.25" customHeight="1" outlineLevel="1" x14ac:dyDescent="0.2">
      <c r="A261" s="31"/>
      <c r="B261" s="81"/>
      <c r="C261" s="82"/>
      <c r="D261" s="89"/>
      <c r="E261" s="91"/>
      <c r="F261" s="92"/>
      <c r="G261" s="93"/>
      <c r="H261" s="46"/>
      <c r="I261" s="42"/>
      <c r="J261" s="214"/>
      <c r="K261" s="37"/>
      <c r="L261" s="38"/>
      <c r="M261" s="38"/>
      <c r="N261" s="37"/>
      <c r="O261" s="39"/>
      <c r="P261" s="53"/>
      <c r="Q261" s="55"/>
      <c r="R261" s="137" t="s">
        <v>600</v>
      </c>
      <c r="S261" s="136" t="s">
        <v>600</v>
      </c>
      <c r="T261" s="136" t="s">
        <v>17</v>
      </c>
      <c r="U261" s="136" t="s">
        <v>17</v>
      </c>
      <c r="V261" s="136"/>
      <c r="W261" s="136"/>
      <c r="X261" s="263"/>
      <c r="Y261" s="1" t="str">
        <f t="shared" si="4"/>
        <v>_</v>
      </c>
      <c r="Z261" s="1" t="str">
        <f t="shared" si="5"/>
        <v>_</v>
      </c>
      <c r="AA261" s="25"/>
      <c r="AB261" s="25"/>
      <c r="AC261" s="25"/>
      <c r="AD261" s="25"/>
      <c r="AE261" s="25"/>
    </row>
    <row r="262" spans="1:31" s="16" customFormat="1" ht="14.25" customHeight="1" outlineLevel="1" x14ac:dyDescent="0.2">
      <c r="A262" s="31"/>
      <c r="B262" s="81"/>
      <c r="C262" s="82"/>
      <c r="D262" s="89"/>
      <c r="E262" s="91"/>
      <c r="F262" s="92"/>
      <c r="G262" s="93"/>
      <c r="H262" s="46"/>
      <c r="I262" s="42"/>
      <c r="J262" s="214"/>
      <c r="K262" s="37"/>
      <c r="L262" s="38"/>
      <c r="M262" s="38"/>
      <c r="N262" s="37"/>
      <c r="O262" s="39"/>
      <c r="P262" s="53"/>
      <c r="Q262" s="55"/>
      <c r="R262" s="137" t="s">
        <v>600</v>
      </c>
      <c r="S262" s="136" t="s">
        <v>600</v>
      </c>
      <c r="T262" s="136" t="s">
        <v>17</v>
      </c>
      <c r="U262" s="136" t="s">
        <v>17</v>
      </c>
      <c r="V262" s="136"/>
      <c r="W262" s="136"/>
      <c r="X262" s="263"/>
      <c r="Y262" s="1" t="str">
        <f t="shared" si="4"/>
        <v>_</v>
      </c>
      <c r="Z262" s="1" t="str">
        <f t="shared" si="5"/>
        <v>_</v>
      </c>
      <c r="AA262" s="25"/>
      <c r="AB262" s="25"/>
      <c r="AC262" s="25"/>
      <c r="AD262" s="25"/>
      <c r="AE262" s="25"/>
    </row>
    <row r="263" spans="1:31" s="16" customFormat="1" ht="14.25" customHeight="1" outlineLevel="1" x14ac:dyDescent="0.2">
      <c r="A263" s="31"/>
      <c r="B263" s="81"/>
      <c r="C263" s="82"/>
      <c r="D263" s="89"/>
      <c r="E263" s="91"/>
      <c r="F263" s="92"/>
      <c r="G263" s="93"/>
      <c r="H263" s="46"/>
      <c r="I263" s="42"/>
      <c r="J263" s="214"/>
      <c r="K263" s="37"/>
      <c r="L263" s="38"/>
      <c r="M263" s="38"/>
      <c r="N263" s="37"/>
      <c r="O263" s="39"/>
      <c r="P263" s="53"/>
      <c r="Q263" s="55"/>
      <c r="R263" s="137" t="s">
        <v>600</v>
      </c>
      <c r="S263" s="136" t="s">
        <v>600</v>
      </c>
      <c r="T263" s="136" t="s">
        <v>17</v>
      </c>
      <c r="U263" s="136" t="s">
        <v>17</v>
      </c>
      <c r="V263" s="136"/>
      <c r="W263" s="136"/>
      <c r="X263" s="263"/>
      <c r="Y263" s="1" t="str">
        <f t="shared" si="4"/>
        <v>_</v>
      </c>
      <c r="Z263" s="1" t="str">
        <f t="shared" si="5"/>
        <v>_</v>
      </c>
      <c r="AA263" s="25"/>
      <c r="AB263" s="25"/>
      <c r="AC263" s="25"/>
      <c r="AD263" s="25"/>
      <c r="AE263" s="25"/>
    </row>
    <row r="264" spans="1:31" s="16" customFormat="1" ht="14.25" customHeight="1" outlineLevel="1" x14ac:dyDescent="0.2">
      <c r="A264" s="31"/>
      <c r="B264" s="81"/>
      <c r="C264" s="82"/>
      <c r="D264" s="89"/>
      <c r="E264" s="91"/>
      <c r="F264" s="92"/>
      <c r="G264" s="93"/>
      <c r="H264" s="46"/>
      <c r="I264" s="42"/>
      <c r="J264" s="214"/>
      <c r="K264" s="37"/>
      <c r="L264" s="38"/>
      <c r="M264" s="38"/>
      <c r="N264" s="37"/>
      <c r="O264" s="39"/>
      <c r="P264" s="53"/>
      <c r="Q264" s="55"/>
      <c r="R264" s="137" t="s">
        <v>600</v>
      </c>
      <c r="S264" s="136" t="s">
        <v>600</v>
      </c>
      <c r="T264" s="136" t="s">
        <v>17</v>
      </c>
      <c r="U264" s="136" t="s">
        <v>17</v>
      </c>
      <c r="V264" s="136"/>
      <c r="W264" s="136"/>
      <c r="X264" s="263"/>
      <c r="Y264" s="1" t="str">
        <f t="shared" si="4"/>
        <v>_</v>
      </c>
      <c r="Z264" s="1" t="str">
        <f t="shared" si="5"/>
        <v>_</v>
      </c>
      <c r="AA264" s="25"/>
      <c r="AB264" s="25"/>
      <c r="AC264" s="25"/>
      <c r="AD264" s="25"/>
      <c r="AE264" s="25"/>
    </row>
    <row r="265" spans="1:31" s="16" customFormat="1" ht="14.25" customHeight="1" outlineLevel="1" x14ac:dyDescent="0.2">
      <c r="A265" s="31"/>
      <c r="B265" s="81"/>
      <c r="C265" s="82"/>
      <c r="D265" s="89"/>
      <c r="E265" s="91"/>
      <c r="F265" s="92"/>
      <c r="G265" s="93"/>
      <c r="H265" s="46"/>
      <c r="I265" s="42"/>
      <c r="J265" s="214"/>
      <c r="K265" s="37"/>
      <c r="L265" s="38"/>
      <c r="M265" s="38"/>
      <c r="N265" s="37"/>
      <c r="O265" s="39"/>
      <c r="P265" s="53"/>
      <c r="Q265" s="55"/>
      <c r="R265" s="137" t="s">
        <v>600</v>
      </c>
      <c r="S265" s="136" t="s">
        <v>600</v>
      </c>
      <c r="T265" s="136" t="s">
        <v>17</v>
      </c>
      <c r="U265" s="136" t="s">
        <v>17</v>
      </c>
      <c r="V265" s="136"/>
      <c r="W265" s="136"/>
      <c r="X265" s="263"/>
      <c r="Y265" s="1" t="str">
        <f t="shared" si="4"/>
        <v>_</v>
      </c>
      <c r="Z265" s="1" t="str">
        <f t="shared" si="5"/>
        <v>_</v>
      </c>
      <c r="AA265" s="25"/>
      <c r="AB265" s="25"/>
      <c r="AC265" s="25"/>
      <c r="AD265" s="25"/>
      <c r="AE265" s="25"/>
    </row>
    <row r="266" spans="1:31" s="16" customFormat="1" ht="14.25" customHeight="1" outlineLevel="1" x14ac:dyDescent="0.2">
      <c r="A266" s="31"/>
      <c r="B266" s="81"/>
      <c r="C266" s="82"/>
      <c r="D266" s="89"/>
      <c r="E266" s="91"/>
      <c r="F266" s="92"/>
      <c r="G266" s="93"/>
      <c r="H266" s="46"/>
      <c r="I266" s="42"/>
      <c r="J266" s="214"/>
      <c r="K266" s="37"/>
      <c r="L266" s="38"/>
      <c r="M266" s="38"/>
      <c r="N266" s="37"/>
      <c r="O266" s="39"/>
      <c r="P266" s="53"/>
      <c r="Q266" s="55"/>
      <c r="R266" s="137" t="s">
        <v>600</v>
      </c>
      <c r="S266" s="136" t="s">
        <v>600</v>
      </c>
      <c r="T266" s="136" t="s">
        <v>17</v>
      </c>
      <c r="U266" s="136" t="s">
        <v>17</v>
      </c>
      <c r="V266" s="136"/>
      <c r="W266" s="136"/>
      <c r="X266" s="263"/>
      <c r="Y266" s="1" t="str">
        <f t="shared" si="4"/>
        <v>_</v>
      </c>
      <c r="Z266" s="1" t="str">
        <f t="shared" si="5"/>
        <v>_</v>
      </c>
      <c r="AA266" s="25"/>
      <c r="AB266" s="25"/>
      <c r="AC266" s="25"/>
      <c r="AD266" s="25"/>
      <c r="AE266" s="25"/>
    </row>
    <row r="267" spans="1:31" s="16" customFormat="1" ht="14.25" customHeight="1" outlineLevel="1" x14ac:dyDescent="0.2">
      <c r="A267" s="31"/>
      <c r="B267" s="81"/>
      <c r="C267" s="82"/>
      <c r="D267" s="89"/>
      <c r="E267" s="91"/>
      <c r="F267" s="92"/>
      <c r="G267" s="93"/>
      <c r="H267" s="46"/>
      <c r="I267" s="42"/>
      <c r="J267" s="214"/>
      <c r="K267" s="37"/>
      <c r="L267" s="38"/>
      <c r="M267" s="38"/>
      <c r="N267" s="37"/>
      <c r="O267" s="39"/>
      <c r="P267" s="53"/>
      <c r="Q267" s="55"/>
      <c r="R267" s="137" t="s">
        <v>600</v>
      </c>
      <c r="S267" s="136" t="s">
        <v>600</v>
      </c>
      <c r="T267" s="136" t="s">
        <v>17</v>
      </c>
      <c r="U267" s="136" t="s">
        <v>17</v>
      </c>
      <c r="V267" s="136"/>
      <c r="W267" s="136"/>
      <c r="X267" s="263"/>
      <c r="Y267" s="1" t="str">
        <f t="shared" si="4"/>
        <v>_</v>
      </c>
      <c r="Z267" s="1" t="str">
        <f t="shared" si="5"/>
        <v>_</v>
      </c>
      <c r="AA267" s="25"/>
      <c r="AB267" s="25"/>
      <c r="AC267" s="25"/>
      <c r="AD267" s="25"/>
      <c r="AE267" s="25"/>
    </row>
    <row r="268" spans="1:31" s="16" customFormat="1" ht="14.25" customHeight="1" outlineLevel="1" x14ac:dyDescent="0.2">
      <c r="A268" s="31"/>
      <c r="B268" s="81"/>
      <c r="C268" s="82"/>
      <c r="D268" s="89"/>
      <c r="E268" s="91"/>
      <c r="F268" s="92"/>
      <c r="G268" s="93"/>
      <c r="H268" s="46"/>
      <c r="I268" s="42"/>
      <c r="J268" s="214"/>
      <c r="K268" s="37"/>
      <c r="L268" s="38"/>
      <c r="M268" s="38"/>
      <c r="N268" s="37"/>
      <c r="O268" s="39"/>
      <c r="P268" s="53"/>
      <c r="Q268" s="55"/>
      <c r="R268" s="137" t="s">
        <v>600</v>
      </c>
      <c r="S268" s="136" t="s">
        <v>600</v>
      </c>
      <c r="T268" s="136" t="s">
        <v>17</v>
      </c>
      <c r="U268" s="136" t="s">
        <v>17</v>
      </c>
      <c r="V268" s="136"/>
      <c r="W268" s="136"/>
      <c r="X268" s="263"/>
      <c r="Y268" s="1" t="str">
        <f t="shared" si="4"/>
        <v>_</v>
      </c>
      <c r="Z268" s="1" t="str">
        <f t="shared" si="5"/>
        <v>_</v>
      </c>
      <c r="AA268" s="25"/>
      <c r="AB268" s="25"/>
      <c r="AC268" s="25"/>
      <c r="AD268" s="25"/>
      <c r="AE268" s="25"/>
    </row>
    <row r="269" spans="1:31" s="16" customFormat="1" ht="14.25" customHeight="1" outlineLevel="1" x14ac:dyDescent="0.2">
      <c r="A269" s="31"/>
      <c r="B269" s="81"/>
      <c r="C269" s="82"/>
      <c r="D269" s="89"/>
      <c r="E269" s="91"/>
      <c r="F269" s="92"/>
      <c r="G269" s="93"/>
      <c r="H269" s="46"/>
      <c r="I269" s="42"/>
      <c r="J269" s="214"/>
      <c r="K269" s="37"/>
      <c r="L269" s="38"/>
      <c r="M269" s="38"/>
      <c r="N269" s="37"/>
      <c r="O269" s="39"/>
      <c r="P269" s="53"/>
      <c r="Q269" s="55"/>
      <c r="R269" s="137" t="s">
        <v>600</v>
      </c>
      <c r="S269" s="136" t="s">
        <v>600</v>
      </c>
      <c r="T269" s="136" t="s">
        <v>17</v>
      </c>
      <c r="U269" s="136" t="s">
        <v>17</v>
      </c>
      <c r="V269" s="136"/>
      <c r="W269" s="136"/>
      <c r="X269" s="263"/>
      <c r="Y269" s="1" t="str">
        <f t="shared" si="4"/>
        <v>_</v>
      </c>
      <c r="Z269" s="1" t="str">
        <f t="shared" si="5"/>
        <v>_</v>
      </c>
      <c r="AA269" s="25"/>
      <c r="AB269" s="25"/>
      <c r="AC269" s="25"/>
      <c r="AD269" s="25"/>
      <c r="AE269" s="25"/>
    </row>
    <row r="270" spans="1:31" s="16" customFormat="1" ht="14.25" customHeight="1" outlineLevel="1" x14ac:dyDescent="0.2">
      <c r="A270" s="31"/>
      <c r="B270" s="81"/>
      <c r="C270" s="82"/>
      <c r="D270" s="89"/>
      <c r="E270" s="91"/>
      <c r="F270" s="92"/>
      <c r="G270" s="93"/>
      <c r="H270" s="46"/>
      <c r="I270" s="42"/>
      <c r="J270" s="214"/>
      <c r="K270" s="37"/>
      <c r="L270" s="38"/>
      <c r="M270" s="38"/>
      <c r="N270" s="37"/>
      <c r="O270" s="39"/>
      <c r="P270" s="53"/>
      <c r="Q270" s="55"/>
      <c r="R270" s="137" t="s">
        <v>600</v>
      </c>
      <c r="S270" s="136" t="s">
        <v>600</v>
      </c>
      <c r="T270" s="136" t="s">
        <v>17</v>
      </c>
      <c r="U270" s="136" t="s">
        <v>17</v>
      </c>
      <c r="V270" s="136"/>
      <c r="W270" s="136"/>
      <c r="X270" s="263"/>
      <c r="Y270" s="1" t="str">
        <f t="shared" si="4"/>
        <v>_</v>
      </c>
      <c r="Z270" s="1" t="str">
        <f t="shared" si="5"/>
        <v>_</v>
      </c>
      <c r="AA270" s="25"/>
      <c r="AB270" s="25"/>
      <c r="AC270" s="25"/>
      <c r="AD270" s="25"/>
      <c r="AE270" s="25"/>
    </row>
    <row r="271" spans="1:31" s="16" customFormat="1" ht="14.25" customHeight="1" outlineLevel="1" x14ac:dyDescent="0.2">
      <c r="A271" s="31"/>
      <c r="B271" s="81"/>
      <c r="C271" s="82"/>
      <c r="D271" s="89"/>
      <c r="E271" s="91"/>
      <c r="F271" s="92"/>
      <c r="G271" s="93"/>
      <c r="H271" s="46"/>
      <c r="I271" s="42"/>
      <c r="J271" s="214"/>
      <c r="K271" s="37"/>
      <c r="L271" s="38"/>
      <c r="M271" s="38"/>
      <c r="N271" s="37"/>
      <c r="O271" s="39"/>
      <c r="P271" s="53"/>
      <c r="Q271" s="55"/>
      <c r="R271" s="137" t="s">
        <v>600</v>
      </c>
      <c r="S271" s="136" t="s">
        <v>600</v>
      </c>
      <c r="T271" s="136" t="s">
        <v>17</v>
      </c>
      <c r="U271" s="136" t="s">
        <v>17</v>
      </c>
      <c r="V271" s="136"/>
      <c r="W271" s="136"/>
      <c r="X271" s="263"/>
      <c r="Y271" s="1" t="str">
        <f t="shared" si="4"/>
        <v>_</v>
      </c>
      <c r="Z271" s="1" t="str">
        <f t="shared" si="5"/>
        <v>_</v>
      </c>
      <c r="AA271" s="25"/>
      <c r="AB271" s="25"/>
      <c r="AC271" s="25"/>
      <c r="AD271" s="25"/>
      <c r="AE271" s="25"/>
    </row>
    <row r="272" spans="1:31" s="16" customFormat="1" ht="14.25" customHeight="1" outlineLevel="1" x14ac:dyDescent="0.2">
      <c r="A272" s="31"/>
      <c r="B272" s="81"/>
      <c r="C272" s="82"/>
      <c r="D272" s="89"/>
      <c r="E272" s="91"/>
      <c r="F272" s="92"/>
      <c r="G272" s="93"/>
      <c r="H272" s="46"/>
      <c r="I272" s="42"/>
      <c r="J272" s="214"/>
      <c r="K272" s="37"/>
      <c r="L272" s="38"/>
      <c r="M272" s="38"/>
      <c r="N272" s="37"/>
      <c r="O272" s="39"/>
      <c r="P272" s="53"/>
      <c r="Q272" s="55"/>
      <c r="R272" s="137" t="s">
        <v>600</v>
      </c>
      <c r="S272" s="136" t="s">
        <v>600</v>
      </c>
      <c r="T272" s="136" t="s">
        <v>17</v>
      </c>
      <c r="U272" s="136" t="s">
        <v>17</v>
      </c>
      <c r="V272" s="136"/>
      <c r="W272" s="136"/>
      <c r="X272" s="263"/>
      <c r="Y272" s="1" t="str">
        <f t="shared" si="4"/>
        <v>_</v>
      </c>
      <c r="Z272" s="1" t="str">
        <f t="shared" si="5"/>
        <v>_</v>
      </c>
      <c r="AA272" s="25"/>
      <c r="AB272" s="25"/>
      <c r="AC272" s="25"/>
      <c r="AD272" s="25"/>
      <c r="AE272" s="25"/>
    </row>
    <row r="273" spans="1:31" s="16" customFormat="1" ht="14.25" customHeight="1" outlineLevel="1" x14ac:dyDescent="0.2">
      <c r="A273" s="31"/>
      <c r="B273" s="81"/>
      <c r="C273" s="82"/>
      <c r="D273" s="89"/>
      <c r="E273" s="91"/>
      <c r="F273" s="92"/>
      <c r="G273" s="93"/>
      <c r="H273" s="46"/>
      <c r="I273" s="42"/>
      <c r="J273" s="214"/>
      <c r="K273" s="37"/>
      <c r="L273" s="38"/>
      <c r="M273" s="38"/>
      <c r="N273" s="37"/>
      <c r="O273" s="39"/>
      <c r="P273" s="53"/>
      <c r="Q273" s="55"/>
      <c r="R273" s="137" t="s">
        <v>600</v>
      </c>
      <c r="S273" s="136" t="s">
        <v>600</v>
      </c>
      <c r="T273" s="136" t="s">
        <v>17</v>
      </c>
      <c r="U273" s="136" t="s">
        <v>17</v>
      </c>
      <c r="V273" s="136"/>
      <c r="W273" s="136"/>
      <c r="X273" s="263"/>
      <c r="Y273" s="1" t="str">
        <f t="shared" si="4"/>
        <v>_</v>
      </c>
      <c r="Z273" s="1" t="str">
        <f t="shared" si="5"/>
        <v>_</v>
      </c>
      <c r="AA273" s="25"/>
      <c r="AB273" s="25"/>
      <c r="AC273" s="25"/>
      <c r="AD273" s="25"/>
      <c r="AE273" s="25"/>
    </row>
    <row r="274" spans="1:31" s="16" customFormat="1" ht="14.25" customHeight="1" outlineLevel="1" x14ac:dyDescent="0.2">
      <c r="A274" s="31"/>
      <c r="B274" s="81"/>
      <c r="C274" s="82"/>
      <c r="D274" s="89"/>
      <c r="E274" s="91"/>
      <c r="F274" s="92"/>
      <c r="G274" s="93"/>
      <c r="H274" s="46"/>
      <c r="I274" s="42"/>
      <c r="J274" s="214"/>
      <c r="K274" s="37"/>
      <c r="L274" s="38"/>
      <c r="M274" s="38"/>
      <c r="N274" s="37"/>
      <c r="O274" s="39"/>
      <c r="P274" s="53"/>
      <c r="Q274" s="55"/>
      <c r="R274" s="137" t="s">
        <v>600</v>
      </c>
      <c r="S274" s="136" t="s">
        <v>600</v>
      </c>
      <c r="T274" s="136" t="s">
        <v>17</v>
      </c>
      <c r="U274" s="136" t="s">
        <v>17</v>
      </c>
      <c r="V274" s="136"/>
      <c r="W274" s="136"/>
      <c r="X274" s="263"/>
      <c r="Y274" s="1" t="str">
        <f t="shared" si="4"/>
        <v>_</v>
      </c>
      <c r="Z274" s="1" t="str">
        <f t="shared" si="5"/>
        <v>_</v>
      </c>
      <c r="AA274" s="25"/>
      <c r="AB274" s="25"/>
      <c r="AC274" s="25"/>
      <c r="AD274" s="25"/>
      <c r="AE274" s="25"/>
    </row>
    <row r="275" spans="1:31" s="16" customFormat="1" ht="14.25" customHeight="1" outlineLevel="1" x14ac:dyDescent="0.2">
      <c r="A275" s="31"/>
      <c r="B275" s="81"/>
      <c r="C275" s="82"/>
      <c r="D275" s="89"/>
      <c r="E275" s="91"/>
      <c r="F275" s="92"/>
      <c r="G275" s="93"/>
      <c r="H275" s="46"/>
      <c r="I275" s="42"/>
      <c r="J275" s="214"/>
      <c r="K275" s="37"/>
      <c r="L275" s="38"/>
      <c r="M275" s="38"/>
      <c r="N275" s="37"/>
      <c r="O275" s="39"/>
      <c r="P275" s="53"/>
      <c r="Q275" s="55"/>
      <c r="R275" s="137" t="s">
        <v>600</v>
      </c>
      <c r="S275" s="136" t="s">
        <v>600</v>
      </c>
      <c r="T275" s="136" t="s">
        <v>17</v>
      </c>
      <c r="U275" s="136" t="s">
        <v>17</v>
      </c>
      <c r="V275" s="136"/>
      <c r="W275" s="136"/>
      <c r="X275" s="263"/>
      <c r="Y275" s="1" t="str">
        <f t="shared" si="4"/>
        <v>_</v>
      </c>
      <c r="Z275" s="1" t="str">
        <f t="shared" si="5"/>
        <v>_</v>
      </c>
      <c r="AA275" s="25"/>
      <c r="AB275" s="25"/>
      <c r="AC275" s="25"/>
      <c r="AD275" s="25"/>
      <c r="AE275" s="25"/>
    </row>
    <row r="276" spans="1:31" s="16" customFormat="1" ht="14.25" customHeight="1" outlineLevel="1" x14ac:dyDescent="0.2">
      <c r="A276" s="31"/>
      <c r="B276" s="81"/>
      <c r="C276" s="82"/>
      <c r="D276" s="89"/>
      <c r="E276" s="91"/>
      <c r="F276" s="92"/>
      <c r="G276" s="93"/>
      <c r="H276" s="46"/>
      <c r="I276" s="42"/>
      <c r="J276" s="214"/>
      <c r="K276" s="37"/>
      <c r="L276" s="38"/>
      <c r="M276" s="38"/>
      <c r="N276" s="37"/>
      <c r="O276" s="39"/>
      <c r="P276" s="53"/>
      <c r="Q276" s="55"/>
      <c r="R276" s="137" t="s">
        <v>600</v>
      </c>
      <c r="S276" s="136" t="s">
        <v>600</v>
      </c>
      <c r="T276" s="136" t="s">
        <v>17</v>
      </c>
      <c r="U276" s="136" t="s">
        <v>17</v>
      </c>
      <c r="V276" s="136"/>
      <c r="W276" s="136"/>
      <c r="X276" s="263"/>
      <c r="Y276" s="1" t="str">
        <f t="shared" si="4"/>
        <v>_</v>
      </c>
      <c r="Z276" s="1" t="str">
        <f t="shared" si="5"/>
        <v>_</v>
      </c>
      <c r="AA276" s="25"/>
      <c r="AB276" s="25"/>
      <c r="AC276" s="25"/>
      <c r="AD276" s="25"/>
      <c r="AE276" s="25"/>
    </row>
    <row r="277" spans="1:31" s="16" customFormat="1" ht="14.25" customHeight="1" outlineLevel="1" x14ac:dyDescent="0.2">
      <c r="A277" s="31"/>
      <c r="B277" s="81"/>
      <c r="C277" s="82"/>
      <c r="D277" s="89"/>
      <c r="E277" s="91"/>
      <c r="F277" s="92"/>
      <c r="G277" s="93"/>
      <c r="H277" s="46"/>
      <c r="I277" s="42"/>
      <c r="J277" s="214"/>
      <c r="K277" s="37"/>
      <c r="L277" s="38"/>
      <c r="M277" s="38"/>
      <c r="N277" s="37"/>
      <c r="O277" s="39"/>
      <c r="P277" s="53"/>
      <c r="Q277" s="55"/>
      <c r="R277" s="137" t="s">
        <v>600</v>
      </c>
      <c r="S277" s="136" t="s">
        <v>600</v>
      </c>
      <c r="T277" s="136" t="s">
        <v>17</v>
      </c>
      <c r="U277" s="136" t="s">
        <v>17</v>
      </c>
      <c r="V277" s="136"/>
      <c r="W277" s="136"/>
      <c r="X277" s="263"/>
      <c r="Y277" s="1" t="str">
        <f t="shared" si="4"/>
        <v>_</v>
      </c>
      <c r="Z277" s="1" t="str">
        <f t="shared" si="5"/>
        <v>_</v>
      </c>
      <c r="AA277" s="25"/>
      <c r="AB277" s="25"/>
      <c r="AC277" s="25"/>
      <c r="AD277" s="25"/>
      <c r="AE277" s="25"/>
    </row>
    <row r="278" spans="1:31" s="16" customFormat="1" ht="14.25" customHeight="1" outlineLevel="1" x14ac:dyDescent="0.2">
      <c r="A278" s="31"/>
      <c r="B278" s="81"/>
      <c r="C278" s="82"/>
      <c r="D278" s="89"/>
      <c r="E278" s="91"/>
      <c r="F278" s="92"/>
      <c r="G278" s="93"/>
      <c r="H278" s="46"/>
      <c r="I278" s="42"/>
      <c r="J278" s="214"/>
      <c r="K278" s="37"/>
      <c r="L278" s="38"/>
      <c r="M278" s="38"/>
      <c r="N278" s="37"/>
      <c r="O278" s="39"/>
      <c r="P278" s="53"/>
      <c r="Q278" s="55"/>
      <c r="R278" s="137" t="s">
        <v>600</v>
      </c>
      <c r="S278" s="136" t="s">
        <v>600</v>
      </c>
      <c r="T278" s="136" t="s">
        <v>17</v>
      </c>
      <c r="U278" s="136" t="s">
        <v>17</v>
      </c>
      <c r="V278" s="136"/>
      <c r="W278" s="136"/>
      <c r="X278" s="263"/>
      <c r="Y278" s="1" t="str">
        <f t="shared" si="4"/>
        <v>_</v>
      </c>
      <c r="Z278" s="1" t="str">
        <f t="shared" si="5"/>
        <v>_</v>
      </c>
      <c r="AA278" s="25"/>
      <c r="AB278" s="25"/>
      <c r="AC278" s="25"/>
      <c r="AD278" s="25"/>
      <c r="AE278" s="25"/>
    </row>
    <row r="279" spans="1:31" s="16" customFormat="1" ht="14.25" customHeight="1" outlineLevel="1" x14ac:dyDescent="0.2">
      <c r="A279" s="31"/>
      <c r="B279" s="81"/>
      <c r="C279" s="82"/>
      <c r="D279" s="89"/>
      <c r="E279" s="91"/>
      <c r="F279" s="92"/>
      <c r="G279" s="93"/>
      <c r="H279" s="46"/>
      <c r="I279" s="42"/>
      <c r="J279" s="214"/>
      <c r="K279" s="37"/>
      <c r="L279" s="38"/>
      <c r="M279" s="38"/>
      <c r="N279" s="37"/>
      <c r="O279" s="39"/>
      <c r="P279" s="53"/>
      <c r="Q279" s="55"/>
      <c r="R279" s="137" t="s">
        <v>600</v>
      </c>
      <c r="S279" s="136" t="s">
        <v>600</v>
      </c>
      <c r="T279" s="136" t="s">
        <v>17</v>
      </c>
      <c r="U279" s="136" t="s">
        <v>17</v>
      </c>
      <c r="V279" s="136"/>
      <c r="W279" s="136"/>
      <c r="X279" s="263"/>
      <c r="Y279" s="1" t="str">
        <f t="shared" si="4"/>
        <v>_</v>
      </c>
      <c r="Z279" s="1" t="str">
        <f t="shared" si="5"/>
        <v>_</v>
      </c>
      <c r="AA279" s="25"/>
      <c r="AB279" s="25"/>
      <c r="AC279" s="25"/>
      <c r="AD279" s="25"/>
      <c r="AE279" s="25"/>
    </row>
    <row r="280" spans="1:31" s="16" customFormat="1" ht="14.25" customHeight="1" outlineLevel="1" x14ac:dyDescent="0.2">
      <c r="A280" s="31"/>
      <c r="B280" s="81"/>
      <c r="C280" s="82"/>
      <c r="D280" s="89"/>
      <c r="E280" s="91"/>
      <c r="F280" s="92"/>
      <c r="G280" s="93"/>
      <c r="H280" s="46"/>
      <c r="I280" s="42"/>
      <c r="J280" s="214"/>
      <c r="K280" s="37"/>
      <c r="L280" s="38"/>
      <c r="M280" s="38"/>
      <c r="N280" s="37"/>
      <c r="O280" s="39"/>
      <c r="P280" s="53"/>
      <c r="Q280" s="55"/>
      <c r="R280" s="137" t="s">
        <v>600</v>
      </c>
      <c r="S280" s="136" t="s">
        <v>600</v>
      </c>
      <c r="T280" s="136" t="s">
        <v>17</v>
      </c>
      <c r="U280" s="136" t="s">
        <v>17</v>
      </c>
      <c r="V280" s="136"/>
      <c r="W280" s="136"/>
      <c r="X280" s="263"/>
      <c r="Y280" s="1" t="str">
        <f t="shared" si="4"/>
        <v>_</v>
      </c>
      <c r="Z280" s="1" t="str">
        <f t="shared" si="5"/>
        <v>_</v>
      </c>
      <c r="AA280" s="25"/>
      <c r="AB280" s="25"/>
      <c r="AC280" s="25"/>
      <c r="AD280" s="25"/>
      <c r="AE280" s="25"/>
    </row>
    <row r="281" spans="1:31" s="16" customFormat="1" ht="14.25" customHeight="1" outlineLevel="1" x14ac:dyDescent="0.2">
      <c r="A281" s="31"/>
      <c r="B281" s="81"/>
      <c r="C281" s="82"/>
      <c r="D281" s="89"/>
      <c r="E281" s="91"/>
      <c r="F281" s="92"/>
      <c r="G281" s="93"/>
      <c r="H281" s="46"/>
      <c r="I281" s="42"/>
      <c r="J281" s="214"/>
      <c r="K281" s="37"/>
      <c r="L281" s="38"/>
      <c r="M281" s="38"/>
      <c r="N281" s="37"/>
      <c r="O281" s="39"/>
      <c r="P281" s="53"/>
      <c r="Q281" s="55"/>
      <c r="R281" s="137" t="s">
        <v>600</v>
      </c>
      <c r="S281" s="136" t="s">
        <v>600</v>
      </c>
      <c r="T281" s="136" t="s">
        <v>17</v>
      </c>
      <c r="U281" s="136" t="s">
        <v>17</v>
      </c>
      <c r="V281" s="136"/>
      <c r="W281" s="136"/>
      <c r="X281" s="263"/>
      <c r="Y281" s="1" t="str">
        <f t="shared" si="4"/>
        <v>_</v>
      </c>
      <c r="Z281" s="1" t="str">
        <f t="shared" si="5"/>
        <v>_</v>
      </c>
      <c r="AA281" s="25"/>
      <c r="AB281" s="25"/>
      <c r="AC281" s="25"/>
      <c r="AD281" s="25"/>
      <c r="AE281" s="25"/>
    </row>
    <row r="282" spans="1:31" s="16" customFormat="1" ht="14.25" customHeight="1" outlineLevel="1" x14ac:dyDescent="0.2">
      <c r="A282" s="31"/>
      <c r="B282" s="81"/>
      <c r="C282" s="82"/>
      <c r="D282" s="89"/>
      <c r="E282" s="91"/>
      <c r="F282" s="92"/>
      <c r="G282" s="93"/>
      <c r="H282" s="46"/>
      <c r="I282" s="42"/>
      <c r="J282" s="214"/>
      <c r="K282" s="37"/>
      <c r="L282" s="38"/>
      <c r="M282" s="38"/>
      <c r="N282" s="37"/>
      <c r="O282" s="39"/>
      <c r="P282" s="53"/>
      <c r="Q282" s="55"/>
      <c r="R282" s="137" t="s">
        <v>600</v>
      </c>
      <c r="S282" s="136" t="s">
        <v>600</v>
      </c>
      <c r="T282" s="136" t="s">
        <v>17</v>
      </c>
      <c r="U282" s="136" t="s">
        <v>17</v>
      </c>
      <c r="V282" s="136"/>
      <c r="W282" s="136"/>
      <c r="X282" s="263"/>
      <c r="Y282" s="1" t="str">
        <f t="shared" si="4"/>
        <v>_</v>
      </c>
      <c r="Z282" s="1" t="str">
        <f t="shared" si="5"/>
        <v>_</v>
      </c>
      <c r="AA282" s="25"/>
      <c r="AB282" s="25"/>
      <c r="AC282" s="25"/>
      <c r="AD282" s="25"/>
      <c r="AE282" s="25"/>
    </row>
    <row r="283" spans="1:31" s="16" customFormat="1" ht="14.25" customHeight="1" outlineLevel="1" x14ac:dyDescent="0.2">
      <c r="A283" s="31"/>
      <c r="B283" s="81"/>
      <c r="C283" s="82"/>
      <c r="D283" s="89"/>
      <c r="E283" s="91"/>
      <c r="F283" s="92"/>
      <c r="G283" s="93"/>
      <c r="H283" s="46"/>
      <c r="I283" s="42"/>
      <c r="J283" s="214"/>
      <c r="K283" s="37"/>
      <c r="L283" s="38"/>
      <c r="M283" s="38"/>
      <c r="N283" s="37"/>
      <c r="O283" s="39"/>
      <c r="P283" s="53"/>
      <c r="Q283" s="55"/>
      <c r="R283" s="137" t="s">
        <v>600</v>
      </c>
      <c r="S283" s="136" t="s">
        <v>600</v>
      </c>
      <c r="T283" s="136" t="s">
        <v>17</v>
      </c>
      <c r="U283" s="136" t="s">
        <v>17</v>
      </c>
      <c r="V283" s="136"/>
      <c r="W283" s="136"/>
      <c r="X283" s="263"/>
      <c r="Y283" s="1" t="str">
        <f t="shared" si="4"/>
        <v>_</v>
      </c>
      <c r="Z283" s="1" t="str">
        <f t="shared" si="5"/>
        <v>_</v>
      </c>
      <c r="AA283" s="25"/>
      <c r="AB283" s="25"/>
      <c r="AC283" s="25"/>
      <c r="AD283" s="25"/>
      <c r="AE283" s="25"/>
    </row>
    <row r="284" spans="1:31" s="16" customFormat="1" ht="14.25" customHeight="1" outlineLevel="1" x14ac:dyDescent="0.2">
      <c r="A284" s="31"/>
      <c r="B284" s="81"/>
      <c r="C284" s="82"/>
      <c r="D284" s="89"/>
      <c r="E284" s="91"/>
      <c r="F284" s="92"/>
      <c r="G284" s="93"/>
      <c r="H284" s="46"/>
      <c r="I284" s="42"/>
      <c r="J284" s="214"/>
      <c r="K284" s="37"/>
      <c r="L284" s="38"/>
      <c r="M284" s="38"/>
      <c r="N284" s="37"/>
      <c r="O284" s="39"/>
      <c r="P284" s="53"/>
      <c r="Q284" s="55"/>
      <c r="R284" s="137" t="s">
        <v>600</v>
      </c>
      <c r="S284" s="136" t="s">
        <v>600</v>
      </c>
      <c r="T284" s="136" t="s">
        <v>17</v>
      </c>
      <c r="U284" s="136" t="s">
        <v>17</v>
      </c>
      <c r="V284" s="136"/>
      <c r="W284" s="136"/>
      <c r="X284" s="263"/>
      <c r="Y284" s="1" t="str">
        <f t="shared" si="4"/>
        <v>_</v>
      </c>
      <c r="Z284" s="1" t="str">
        <f t="shared" si="5"/>
        <v>_</v>
      </c>
      <c r="AA284" s="25"/>
      <c r="AB284" s="25"/>
      <c r="AC284" s="25"/>
      <c r="AD284" s="25"/>
      <c r="AE284" s="25"/>
    </row>
    <row r="285" spans="1:31" s="16" customFormat="1" ht="14.25" customHeight="1" outlineLevel="1" x14ac:dyDescent="0.2">
      <c r="A285" s="31"/>
      <c r="B285" s="81"/>
      <c r="C285" s="82"/>
      <c r="D285" s="89"/>
      <c r="E285" s="91"/>
      <c r="F285" s="92"/>
      <c r="G285" s="93"/>
      <c r="H285" s="46"/>
      <c r="I285" s="42"/>
      <c r="J285" s="214"/>
      <c r="K285" s="37"/>
      <c r="L285" s="38"/>
      <c r="M285" s="38"/>
      <c r="N285" s="37"/>
      <c r="O285" s="39"/>
      <c r="P285" s="53"/>
      <c r="Q285" s="55"/>
      <c r="R285" s="137" t="s">
        <v>600</v>
      </c>
      <c r="S285" s="136" t="s">
        <v>600</v>
      </c>
      <c r="T285" s="136" t="s">
        <v>17</v>
      </c>
      <c r="U285" s="136" t="s">
        <v>17</v>
      </c>
      <c r="V285" s="136"/>
      <c r="W285" s="136"/>
      <c r="X285" s="263"/>
      <c r="Y285" s="1" t="str">
        <f t="shared" si="4"/>
        <v>_</v>
      </c>
      <c r="Z285" s="1" t="str">
        <f t="shared" si="5"/>
        <v>_</v>
      </c>
      <c r="AA285" s="25"/>
      <c r="AB285" s="25"/>
      <c r="AC285" s="25"/>
      <c r="AD285" s="25"/>
      <c r="AE285" s="25"/>
    </row>
    <row r="286" spans="1:31" s="16" customFormat="1" ht="14.25" customHeight="1" outlineLevel="1" x14ac:dyDescent="0.2">
      <c r="A286" s="31"/>
      <c r="B286" s="81"/>
      <c r="C286" s="82"/>
      <c r="D286" s="89"/>
      <c r="E286" s="91"/>
      <c r="F286" s="92"/>
      <c r="G286" s="93"/>
      <c r="H286" s="46"/>
      <c r="I286" s="42"/>
      <c r="J286" s="214"/>
      <c r="K286" s="37"/>
      <c r="L286" s="38"/>
      <c r="M286" s="38"/>
      <c r="N286" s="37"/>
      <c r="O286" s="39"/>
      <c r="P286" s="53"/>
      <c r="Q286" s="55"/>
      <c r="R286" s="137" t="s">
        <v>600</v>
      </c>
      <c r="S286" s="136" t="s">
        <v>600</v>
      </c>
      <c r="T286" s="136" t="s">
        <v>17</v>
      </c>
      <c r="U286" s="136" t="s">
        <v>17</v>
      </c>
      <c r="V286" s="136"/>
      <c r="W286" s="136"/>
      <c r="X286" s="263"/>
      <c r="Y286" s="1" t="str">
        <f t="shared" si="4"/>
        <v>_</v>
      </c>
      <c r="Z286" s="1" t="str">
        <f t="shared" si="5"/>
        <v>_</v>
      </c>
      <c r="AA286" s="25"/>
      <c r="AB286" s="25"/>
      <c r="AC286" s="25"/>
      <c r="AD286" s="25"/>
      <c r="AE286" s="25"/>
    </row>
    <row r="287" spans="1:31" s="16" customFormat="1" ht="14.25" customHeight="1" outlineLevel="1" x14ac:dyDescent="0.2">
      <c r="A287" s="31"/>
      <c r="B287" s="81"/>
      <c r="C287" s="82"/>
      <c r="D287" s="89"/>
      <c r="E287" s="91"/>
      <c r="F287" s="92"/>
      <c r="G287" s="93"/>
      <c r="H287" s="46"/>
      <c r="I287" s="42"/>
      <c r="J287" s="214"/>
      <c r="K287" s="37"/>
      <c r="L287" s="38"/>
      <c r="M287" s="38"/>
      <c r="N287" s="37"/>
      <c r="O287" s="39"/>
      <c r="P287" s="53"/>
      <c r="Q287" s="55"/>
      <c r="R287" s="137" t="s">
        <v>600</v>
      </c>
      <c r="S287" s="136" t="s">
        <v>600</v>
      </c>
      <c r="T287" s="136" t="s">
        <v>17</v>
      </c>
      <c r="U287" s="136" t="s">
        <v>17</v>
      </c>
      <c r="V287" s="136"/>
      <c r="W287" s="136"/>
      <c r="X287" s="263"/>
      <c r="Y287" s="1" t="str">
        <f t="shared" si="4"/>
        <v>_</v>
      </c>
      <c r="Z287" s="1" t="str">
        <f t="shared" si="5"/>
        <v>_</v>
      </c>
      <c r="AA287" s="25"/>
      <c r="AB287" s="25"/>
      <c r="AC287" s="25"/>
      <c r="AD287" s="25"/>
      <c r="AE287" s="25"/>
    </row>
    <row r="288" spans="1:31" s="16" customFormat="1" ht="14.25" customHeight="1" outlineLevel="1" x14ac:dyDescent="0.2">
      <c r="A288" s="31"/>
      <c r="B288" s="81"/>
      <c r="C288" s="82"/>
      <c r="D288" s="89"/>
      <c r="E288" s="91"/>
      <c r="F288" s="92"/>
      <c r="G288" s="93"/>
      <c r="H288" s="46"/>
      <c r="I288" s="42"/>
      <c r="J288" s="214"/>
      <c r="K288" s="37"/>
      <c r="L288" s="38"/>
      <c r="M288" s="38"/>
      <c r="N288" s="37"/>
      <c r="O288" s="39"/>
      <c r="P288" s="53"/>
      <c r="Q288" s="55"/>
      <c r="R288" s="137" t="s">
        <v>600</v>
      </c>
      <c r="S288" s="136" t="s">
        <v>600</v>
      </c>
      <c r="T288" s="136" t="s">
        <v>17</v>
      </c>
      <c r="U288" s="136" t="s">
        <v>17</v>
      </c>
      <c r="V288" s="136"/>
      <c r="W288" s="136"/>
      <c r="X288" s="263"/>
      <c r="Y288" s="1" t="str">
        <f t="shared" si="4"/>
        <v>_</v>
      </c>
      <c r="Z288" s="1" t="str">
        <f t="shared" si="5"/>
        <v>_</v>
      </c>
      <c r="AA288" s="25"/>
      <c r="AB288" s="25"/>
      <c r="AC288" s="25"/>
      <c r="AD288" s="25"/>
      <c r="AE288" s="25"/>
    </row>
    <row r="289" spans="1:31" s="16" customFormat="1" ht="14.25" customHeight="1" outlineLevel="1" x14ac:dyDescent="0.2">
      <c r="A289" s="31"/>
      <c r="B289" s="81"/>
      <c r="C289" s="82"/>
      <c r="D289" s="89"/>
      <c r="E289" s="91"/>
      <c r="F289" s="92"/>
      <c r="G289" s="93"/>
      <c r="H289" s="46"/>
      <c r="I289" s="42"/>
      <c r="J289" s="214"/>
      <c r="K289" s="37"/>
      <c r="L289" s="38"/>
      <c r="M289" s="38"/>
      <c r="N289" s="37"/>
      <c r="O289" s="39"/>
      <c r="P289" s="53"/>
      <c r="Q289" s="55"/>
      <c r="R289" s="137" t="s">
        <v>600</v>
      </c>
      <c r="S289" s="136" t="s">
        <v>600</v>
      </c>
      <c r="T289" s="136" t="s">
        <v>17</v>
      </c>
      <c r="U289" s="136" t="s">
        <v>17</v>
      </c>
      <c r="V289" s="136"/>
      <c r="W289" s="136"/>
      <c r="X289" s="263"/>
      <c r="Y289" s="1" t="str">
        <f t="shared" si="4"/>
        <v>_</v>
      </c>
      <c r="Z289" s="1" t="str">
        <f t="shared" si="5"/>
        <v>_</v>
      </c>
      <c r="AA289" s="25"/>
      <c r="AB289" s="25"/>
      <c r="AC289" s="25"/>
      <c r="AD289" s="25"/>
      <c r="AE289" s="25"/>
    </row>
    <row r="290" spans="1:31" s="16" customFormat="1" ht="14.25" customHeight="1" outlineLevel="1" x14ac:dyDescent="0.2">
      <c r="A290" s="31"/>
      <c r="B290" s="81"/>
      <c r="C290" s="82"/>
      <c r="D290" s="89"/>
      <c r="E290" s="91"/>
      <c r="F290" s="92"/>
      <c r="G290" s="93"/>
      <c r="H290" s="46"/>
      <c r="I290" s="42"/>
      <c r="J290" s="214"/>
      <c r="K290" s="37"/>
      <c r="L290" s="38"/>
      <c r="M290" s="38"/>
      <c r="N290" s="37"/>
      <c r="O290" s="39"/>
      <c r="P290" s="53"/>
      <c r="Q290" s="55"/>
      <c r="R290" s="137" t="s">
        <v>600</v>
      </c>
      <c r="S290" s="136" t="s">
        <v>600</v>
      </c>
      <c r="T290" s="136" t="s">
        <v>17</v>
      </c>
      <c r="U290" s="136" t="s">
        <v>17</v>
      </c>
      <c r="V290" s="136"/>
      <c r="W290" s="136"/>
      <c r="X290" s="263"/>
      <c r="Y290" s="1" t="str">
        <f t="shared" si="4"/>
        <v>_</v>
      </c>
      <c r="Z290" s="1" t="str">
        <f t="shared" si="5"/>
        <v>_</v>
      </c>
      <c r="AA290" s="25"/>
      <c r="AB290" s="25"/>
      <c r="AC290" s="25"/>
      <c r="AD290" s="25"/>
      <c r="AE290" s="25"/>
    </row>
    <row r="291" spans="1:31" s="16" customFormat="1" ht="14.25" customHeight="1" outlineLevel="1" x14ac:dyDescent="0.2">
      <c r="A291" s="31"/>
      <c r="B291" s="81"/>
      <c r="C291" s="82"/>
      <c r="D291" s="89"/>
      <c r="E291" s="91"/>
      <c r="F291" s="92"/>
      <c r="G291" s="93"/>
      <c r="H291" s="46"/>
      <c r="I291" s="42"/>
      <c r="J291" s="214"/>
      <c r="K291" s="37"/>
      <c r="L291" s="38"/>
      <c r="M291" s="38"/>
      <c r="N291" s="37"/>
      <c r="O291" s="39"/>
      <c r="P291" s="53"/>
      <c r="Q291" s="55"/>
      <c r="R291" s="137" t="s">
        <v>600</v>
      </c>
      <c r="S291" s="136" t="s">
        <v>600</v>
      </c>
      <c r="T291" s="136" t="s">
        <v>17</v>
      </c>
      <c r="U291" s="136" t="s">
        <v>17</v>
      </c>
      <c r="V291" s="136"/>
      <c r="W291" s="136"/>
      <c r="X291" s="263"/>
      <c r="Y291" s="1" t="str">
        <f t="shared" si="4"/>
        <v>_</v>
      </c>
      <c r="Z291" s="1" t="str">
        <f t="shared" si="5"/>
        <v>_</v>
      </c>
      <c r="AA291" s="25"/>
      <c r="AB291" s="25"/>
      <c r="AC291" s="25"/>
      <c r="AD291" s="25"/>
      <c r="AE291" s="25"/>
    </row>
    <row r="292" spans="1:31" s="16" customFormat="1" ht="14.25" customHeight="1" outlineLevel="1" x14ac:dyDescent="0.2">
      <c r="A292" s="31"/>
      <c r="B292" s="81"/>
      <c r="C292" s="82"/>
      <c r="D292" s="89"/>
      <c r="E292" s="91"/>
      <c r="F292" s="92"/>
      <c r="G292" s="93"/>
      <c r="H292" s="46"/>
      <c r="I292" s="42"/>
      <c r="J292" s="214"/>
      <c r="K292" s="37"/>
      <c r="L292" s="38"/>
      <c r="M292" s="38"/>
      <c r="N292" s="37"/>
      <c r="O292" s="39"/>
      <c r="P292" s="53"/>
      <c r="Q292" s="55"/>
      <c r="R292" s="137" t="s">
        <v>600</v>
      </c>
      <c r="S292" s="136" t="s">
        <v>600</v>
      </c>
      <c r="T292" s="136" t="s">
        <v>17</v>
      </c>
      <c r="U292" s="136" t="s">
        <v>17</v>
      </c>
      <c r="V292" s="136"/>
      <c r="W292" s="136"/>
      <c r="X292" s="263"/>
      <c r="Y292" s="1" t="str">
        <f t="shared" si="4"/>
        <v>_</v>
      </c>
      <c r="Z292" s="1" t="str">
        <f t="shared" si="5"/>
        <v>_</v>
      </c>
      <c r="AA292" s="25"/>
      <c r="AB292" s="25"/>
      <c r="AC292" s="25"/>
      <c r="AD292" s="25"/>
      <c r="AE292" s="25"/>
    </row>
    <row r="293" spans="1:31" s="16" customFormat="1" ht="14.25" customHeight="1" outlineLevel="1" x14ac:dyDescent="0.2">
      <c r="A293" s="31"/>
      <c r="B293" s="81"/>
      <c r="C293" s="82"/>
      <c r="D293" s="89"/>
      <c r="E293" s="91"/>
      <c r="F293" s="92"/>
      <c r="G293" s="93"/>
      <c r="H293" s="46"/>
      <c r="I293" s="42"/>
      <c r="J293" s="214"/>
      <c r="K293" s="37"/>
      <c r="L293" s="38"/>
      <c r="M293" s="38"/>
      <c r="N293" s="37"/>
      <c r="O293" s="39"/>
      <c r="P293" s="53"/>
      <c r="Q293" s="55"/>
      <c r="R293" s="137" t="s">
        <v>600</v>
      </c>
      <c r="S293" s="136" t="s">
        <v>600</v>
      </c>
      <c r="T293" s="136" t="s">
        <v>17</v>
      </c>
      <c r="U293" s="136" t="s">
        <v>17</v>
      </c>
      <c r="V293" s="136"/>
      <c r="W293" s="136"/>
      <c r="X293" s="263"/>
      <c r="Y293" s="1" t="str">
        <f t="shared" si="4"/>
        <v>_</v>
      </c>
      <c r="Z293" s="1" t="str">
        <f t="shared" si="5"/>
        <v>_</v>
      </c>
      <c r="AA293" s="25"/>
      <c r="AB293" s="25"/>
      <c r="AC293" s="25"/>
      <c r="AD293" s="25"/>
      <c r="AE293" s="25"/>
    </row>
    <row r="294" spans="1:31" s="16" customFormat="1" ht="14.25" customHeight="1" outlineLevel="1" x14ac:dyDescent="0.2">
      <c r="A294" s="31"/>
      <c r="B294" s="81"/>
      <c r="C294" s="82"/>
      <c r="D294" s="89"/>
      <c r="E294" s="91"/>
      <c r="F294" s="92"/>
      <c r="G294" s="93"/>
      <c r="H294" s="46"/>
      <c r="I294" s="42"/>
      <c r="J294" s="214"/>
      <c r="K294" s="37"/>
      <c r="L294" s="38"/>
      <c r="M294" s="38"/>
      <c r="N294" s="37"/>
      <c r="O294" s="39"/>
      <c r="P294" s="53"/>
      <c r="Q294" s="55"/>
      <c r="R294" s="137" t="s">
        <v>600</v>
      </c>
      <c r="S294" s="136" t="s">
        <v>600</v>
      </c>
      <c r="T294" s="136" t="s">
        <v>17</v>
      </c>
      <c r="U294" s="136" t="s">
        <v>17</v>
      </c>
      <c r="V294" s="136"/>
      <c r="W294" s="136"/>
      <c r="X294" s="263"/>
      <c r="Y294" s="1" t="str">
        <f t="shared" si="4"/>
        <v>_</v>
      </c>
      <c r="Z294" s="1" t="str">
        <f t="shared" si="5"/>
        <v>_</v>
      </c>
      <c r="AA294" s="25"/>
      <c r="AB294" s="25"/>
      <c r="AC294" s="25"/>
      <c r="AD294" s="25"/>
      <c r="AE294" s="25"/>
    </row>
    <row r="295" spans="1:31" s="16" customFormat="1" ht="14.25" customHeight="1" outlineLevel="1" x14ac:dyDescent="0.2">
      <c r="A295" s="31"/>
      <c r="B295" s="81"/>
      <c r="C295" s="82"/>
      <c r="D295" s="89"/>
      <c r="E295" s="91"/>
      <c r="F295" s="92"/>
      <c r="G295" s="93"/>
      <c r="H295" s="46"/>
      <c r="I295" s="42"/>
      <c r="J295" s="214"/>
      <c r="K295" s="37"/>
      <c r="L295" s="38"/>
      <c r="M295" s="38"/>
      <c r="N295" s="37"/>
      <c r="O295" s="39"/>
      <c r="P295" s="53"/>
      <c r="Q295" s="55"/>
      <c r="R295" s="137" t="s">
        <v>600</v>
      </c>
      <c r="S295" s="136" t="s">
        <v>600</v>
      </c>
      <c r="T295" s="136" t="s">
        <v>17</v>
      </c>
      <c r="U295" s="136" t="s">
        <v>17</v>
      </c>
      <c r="V295" s="136"/>
      <c r="W295" s="136"/>
      <c r="X295" s="263"/>
      <c r="Y295" s="1" t="str">
        <f t="shared" si="4"/>
        <v>_</v>
      </c>
      <c r="Z295" s="1" t="str">
        <f t="shared" si="5"/>
        <v>_</v>
      </c>
      <c r="AA295" s="25"/>
      <c r="AB295" s="25"/>
      <c r="AC295" s="25"/>
      <c r="AD295" s="25"/>
      <c r="AE295" s="25"/>
    </row>
    <row r="296" spans="1:31" s="16" customFormat="1" ht="14.25" customHeight="1" outlineLevel="1" x14ac:dyDescent="0.2">
      <c r="A296" s="31"/>
      <c r="B296" s="81"/>
      <c r="C296" s="82"/>
      <c r="D296" s="89"/>
      <c r="E296" s="91"/>
      <c r="F296" s="92"/>
      <c r="G296" s="93"/>
      <c r="H296" s="46"/>
      <c r="I296" s="42"/>
      <c r="J296" s="214"/>
      <c r="K296" s="37"/>
      <c r="L296" s="38"/>
      <c r="M296" s="38"/>
      <c r="N296" s="37"/>
      <c r="O296" s="39"/>
      <c r="P296" s="53"/>
      <c r="Q296" s="55"/>
      <c r="R296" s="137" t="s">
        <v>600</v>
      </c>
      <c r="S296" s="136" t="s">
        <v>600</v>
      </c>
      <c r="T296" s="136" t="s">
        <v>17</v>
      </c>
      <c r="U296" s="136" t="s">
        <v>17</v>
      </c>
      <c r="V296" s="136"/>
      <c r="W296" s="136"/>
      <c r="X296" s="263"/>
      <c r="Y296" s="1" t="str">
        <f t="shared" si="4"/>
        <v>_</v>
      </c>
      <c r="Z296" s="1" t="str">
        <f t="shared" si="5"/>
        <v>_</v>
      </c>
      <c r="AA296" s="25"/>
      <c r="AB296" s="25"/>
      <c r="AC296" s="25"/>
      <c r="AD296" s="25"/>
      <c r="AE296" s="25"/>
    </row>
    <row r="297" spans="1:31" s="16" customFormat="1" ht="14.25" customHeight="1" outlineLevel="1" x14ac:dyDescent="0.2">
      <c r="A297" s="31"/>
      <c r="B297" s="81"/>
      <c r="C297" s="82"/>
      <c r="D297" s="89"/>
      <c r="E297" s="91"/>
      <c r="F297" s="92"/>
      <c r="G297" s="93"/>
      <c r="H297" s="46"/>
      <c r="I297" s="42"/>
      <c r="J297" s="214"/>
      <c r="K297" s="37"/>
      <c r="L297" s="38"/>
      <c r="M297" s="38"/>
      <c r="N297" s="37"/>
      <c r="O297" s="39"/>
      <c r="P297" s="53"/>
      <c r="Q297" s="55"/>
      <c r="R297" s="137" t="s">
        <v>600</v>
      </c>
      <c r="S297" s="136" t="s">
        <v>600</v>
      </c>
      <c r="T297" s="136" t="s">
        <v>17</v>
      </c>
      <c r="U297" s="136" t="s">
        <v>17</v>
      </c>
      <c r="V297" s="136"/>
      <c r="W297" s="136"/>
      <c r="X297" s="263"/>
      <c r="Y297" s="1" t="str">
        <f t="shared" si="4"/>
        <v>_</v>
      </c>
      <c r="Z297" s="1" t="str">
        <f t="shared" si="5"/>
        <v>_</v>
      </c>
      <c r="AA297" s="25"/>
      <c r="AB297" s="25"/>
      <c r="AC297" s="25"/>
      <c r="AD297" s="25"/>
      <c r="AE297" s="25"/>
    </row>
    <row r="298" spans="1:31" s="16" customFormat="1" ht="14.25" customHeight="1" outlineLevel="1" x14ac:dyDescent="0.2">
      <c r="A298" s="31"/>
      <c r="B298" s="81"/>
      <c r="C298" s="82"/>
      <c r="D298" s="89"/>
      <c r="E298" s="91"/>
      <c r="F298" s="92"/>
      <c r="G298" s="93"/>
      <c r="H298" s="46"/>
      <c r="I298" s="42"/>
      <c r="J298" s="214"/>
      <c r="K298" s="37"/>
      <c r="L298" s="38"/>
      <c r="M298" s="38"/>
      <c r="N298" s="37"/>
      <c r="O298" s="39"/>
      <c r="P298" s="53"/>
      <c r="Q298" s="55"/>
      <c r="R298" s="137" t="s">
        <v>600</v>
      </c>
      <c r="S298" s="136" t="s">
        <v>600</v>
      </c>
      <c r="T298" s="136" t="s">
        <v>17</v>
      </c>
      <c r="U298" s="136" t="s">
        <v>17</v>
      </c>
      <c r="V298" s="136"/>
      <c r="W298" s="136"/>
      <c r="X298" s="263"/>
      <c r="Y298" s="1" t="str">
        <f t="shared" si="4"/>
        <v>_</v>
      </c>
      <c r="Z298" s="1" t="str">
        <f t="shared" si="5"/>
        <v>_</v>
      </c>
      <c r="AA298" s="25"/>
      <c r="AB298" s="25"/>
      <c r="AC298" s="25"/>
      <c r="AD298" s="25"/>
      <c r="AE298" s="25"/>
    </row>
    <row r="299" spans="1:31" s="16" customFormat="1" ht="14.25" customHeight="1" outlineLevel="1" x14ac:dyDescent="0.2">
      <c r="A299" s="31"/>
      <c r="B299" s="81"/>
      <c r="C299" s="82"/>
      <c r="D299" s="89"/>
      <c r="E299" s="91"/>
      <c r="F299" s="92"/>
      <c r="G299" s="93"/>
      <c r="H299" s="46"/>
      <c r="I299" s="42"/>
      <c r="J299" s="214"/>
      <c r="K299" s="37"/>
      <c r="L299" s="38"/>
      <c r="M299" s="38"/>
      <c r="N299" s="37"/>
      <c r="O299" s="39"/>
      <c r="P299" s="53"/>
      <c r="Q299" s="55"/>
      <c r="R299" s="137" t="s">
        <v>600</v>
      </c>
      <c r="S299" s="136" t="s">
        <v>600</v>
      </c>
      <c r="T299" s="136" t="s">
        <v>17</v>
      </c>
      <c r="U299" s="136" t="s">
        <v>17</v>
      </c>
      <c r="V299" s="136"/>
      <c r="W299" s="136"/>
      <c r="X299" s="263"/>
      <c r="Y299" s="1" t="str">
        <f t="shared" si="4"/>
        <v>_</v>
      </c>
      <c r="Z299" s="1" t="str">
        <f t="shared" si="5"/>
        <v>_</v>
      </c>
      <c r="AA299" s="25"/>
      <c r="AB299" s="25"/>
      <c r="AC299" s="25"/>
      <c r="AD299" s="25"/>
      <c r="AE299" s="25"/>
    </row>
    <row r="300" spans="1:31" s="16" customFormat="1" ht="14.25" customHeight="1" outlineLevel="1" x14ac:dyDescent="0.2">
      <c r="A300" s="31"/>
      <c r="B300" s="81"/>
      <c r="C300" s="82"/>
      <c r="D300" s="89"/>
      <c r="E300" s="91"/>
      <c r="F300" s="92"/>
      <c r="G300" s="93"/>
      <c r="H300" s="46"/>
      <c r="I300" s="42"/>
      <c r="J300" s="214"/>
      <c r="K300" s="37"/>
      <c r="L300" s="38"/>
      <c r="M300" s="38"/>
      <c r="N300" s="37"/>
      <c r="O300" s="39"/>
      <c r="P300" s="53"/>
      <c r="Q300" s="55"/>
      <c r="R300" s="137" t="s">
        <v>600</v>
      </c>
      <c r="S300" s="136" t="s">
        <v>600</v>
      </c>
      <c r="T300" s="136" t="s">
        <v>17</v>
      </c>
      <c r="U300" s="136" t="s">
        <v>17</v>
      </c>
      <c r="V300" s="136"/>
      <c r="W300" s="136"/>
      <c r="X300" s="263"/>
      <c r="Y300" s="1" t="str">
        <f t="shared" si="4"/>
        <v>_</v>
      </c>
      <c r="Z300" s="1" t="str">
        <f t="shared" si="5"/>
        <v>_</v>
      </c>
      <c r="AA300" s="25"/>
      <c r="AB300" s="25"/>
      <c r="AC300" s="25"/>
      <c r="AD300" s="25"/>
      <c r="AE300" s="25"/>
    </row>
    <row r="301" spans="1:31" s="16" customFormat="1" ht="14.25" customHeight="1" outlineLevel="1" x14ac:dyDescent="0.2">
      <c r="A301" s="31"/>
      <c r="B301" s="81"/>
      <c r="C301" s="82"/>
      <c r="D301" s="89"/>
      <c r="E301" s="91"/>
      <c r="F301" s="92"/>
      <c r="G301" s="93"/>
      <c r="H301" s="46"/>
      <c r="I301" s="42"/>
      <c r="J301" s="214"/>
      <c r="K301" s="37"/>
      <c r="L301" s="38"/>
      <c r="M301" s="38"/>
      <c r="N301" s="37"/>
      <c r="O301" s="39"/>
      <c r="P301" s="53"/>
      <c r="Q301" s="55"/>
      <c r="R301" s="137" t="s">
        <v>600</v>
      </c>
      <c r="S301" s="136" t="s">
        <v>600</v>
      </c>
      <c r="T301" s="136" t="s">
        <v>17</v>
      </c>
      <c r="U301" s="136" t="s">
        <v>17</v>
      </c>
      <c r="V301" s="136"/>
      <c r="W301" s="136"/>
      <c r="X301" s="263"/>
      <c r="Y301" s="1" t="str">
        <f t="shared" si="4"/>
        <v>_</v>
      </c>
      <c r="Z301" s="1" t="str">
        <f t="shared" si="5"/>
        <v>_</v>
      </c>
      <c r="AA301" s="25"/>
      <c r="AB301" s="25"/>
      <c r="AC301" s="25"/>
      <c r="AD301" s="25"/>
      <c r="AE301" s="25"/>
    </row>
    <row r="302" spans="1:31" s="16" customFormat="1" ht="14.25" customHeight="1" outlineLevel="1" x14ac:dyDescent="0.2">
      <c r="A302" s="31"/>
      <c r="B302" s="81"/>
      <c r="C302" s="82"/>
      <c r="D302" s="89"/>
      <c r="E302" s="91"/>
      <c r="F302" s="92"/>
      <c r="G302" s="93"/>
      <c r="H302" s="46"/>
      <c r="I302" s="42"/>
      <c r="J302" s="214"/>
      <c r="K302" s="37"/>
      <c r="L302" s="38"/>
      <c r="M302" s="38"/>
      <c r="N302" s="37"/>
      <c r="O302" s="39"/>
      <c r="P302" s="53"/>
      <c r="Q302" s="55"/>
      <c r="R302" s="137" t="s">
        <v>600</v>
      </c>
      <c r="S302" s="136" t="s">
        <v>600</v>
      </c>
      <c r="T302" s="136" t="s">
        <v>17</v>
      </c>
      <c r="U302" s="136" t="s">
        <v>17</v>
      </c>
      <c r="V302" s="136"/>
      <c r="W302" s="136"/>
      <c r="X302" s="263"/>
      <c r="Y302" s="1" t="str">
        <f t="shared" si="4"/>
        <v>_</v>
      </c>
      <c r="Z302" s="1" t="str">
        <f t="shared" si="5"/>
        <v>_</v>
      </c>
      <c r="AA302" s="25"/>
      <c r="AB302" s="25"/>
      <c r="AC302" s="25"/>
      <c r="AD302" s="25"/>
      <c r="AE302" s="25"/>
    </row>
    <row r="303" spans="1:31" s="16" customFormat="1" ht="14.25" customHeight="1" outlineLevel="1" x14ac:dyDescent="0.2">
      <c r="A303" s="31"/>
      <c r="B303" s="81"/>
      <c r="C303" s="82"/>
      <c r="D303" s="89"/>
      <c r="E303" s="91"/>
      <c r="F303" s="92"/>
      <c r="G303" s="93"/>
      <c r="H303" s="46"/>
      <c r="I303" s="42"/>
      <c r="J303" s="214"/>
      <c r="K303" s="37"/>
      <c r="L303" s="38"/>
      <c r="M303" s="38"/>
      <c r="N303" s="37"/>
      <c r="O303" s="39"/>
      <c r="P303" s="53"/>
      <c r="Q303" s="55"/>
      <c r="R303" s="137" t="s">
        <v>600</v>
      </c>
      <c r="S303" s="136" t="s">
        <v>600</v>
      </c>
      <c r="T303" s="136" t="s">
        <v>17</v>
      </c>
      <c r="U303" s="136" t="s">
        <v>17</v>
      </c>
      <c r="V303" s="136"/>
      <c r="W303" s="136"/>
      <c r="X303" s="263"/>
      <c r="Y303" s="1" t="str">
        <f t="shared" si="4"/>
        <v>_</v>
      </c>
      <c r="Z303" s="1" t="str">
        <f t="shared" si="5"/>
        <v>_</v>
      </c>
      <c r="AA303" s="25"/>
    </row>
    <row r="304" spans="1:31" s="16" customFormat="1" ht="14.25" customHeight="1" outlineLevel="1" x14ac:dyDescent="0.2">
      <c r="A304" s="31"/>
      <c r="B304" s="81"/>
      <c r="C304" s="82"/>
      <c r="D304" s="89"/>
      <c r="E304" s="91"/>
      <c r="F304" s="92"/>
      <c r="G304" s="93"/>
      <c r="H304" s="46"/>
      <c r="I304" s="42"/>
      <c r="J304" s="214"/>
      <c r="K304" s="37"/>
      <c r="L304" s="38"/>
      <c r="M304" s="38"/>
      <c r="N304" s="37"/>
      <c r="O304" s="39"/>
      <c r="P304" s="53"/>
      <c r="Q304" s="55"/>
      <c r="R304" s="137" t="s">
        <v>600</v>
      </c>
      <c r="S304" s="136" t="s">
        <v>600</v>
      </c>
      <c r="T304" s="136" t="s">
        <v>17</v>
      </c>
      <c r="U304" s="136" t="s">
        <v>17</v>
      </c>
      <c r="V304" s="136"/>
      <c r="W304" s="136"/>
      <c r="X304" s="263"/>
      <c r="Y304" s="1" t="str">
        <f t="shared" si="4"/>
        <v>_</v>
      </c>
      <c r="Z304" s="1" t="str">
        <f t="shared" si="5"/>
        <v>_</v>
      </c>
      <c r="AA304" s="25"/>
    </row>
    <row r="305" spans="1:27" s="16" customFormat="1" ht="14.25" customHeight="1" outlineLevel="1" x14ac:dyDescent="0.2">
      <c r="A305" s="31"/>
      <c r="B305" s="81"/>
      <c r="C305" s="82"/>
      <c r="D305" s="89"/>
      <c r="E305" s="91"/>
      <c r="F305" s="92"/>
      <c r="G305" s="93"/>
      <c r="H305" s="46"/>
      <c r="I305" s="42"/>
      <c r="J305" s="214"/>
      <c r="K305" s="37"/>
      <c r="L305" s="38"/>
      <c r="M305" s="38"/>
      <c r="N305" s="37"/>
      <c r="O305" s="39"/>
      <c r="P305" s="53"/>
      <c r="Q305" s="55"/>
      <c r="R305" s="137" t="s">
        <v>600</v>
      </c>
      <c r="S305" s="136" t="s">
        <v>600</v>
      </c>
      <c r="T305" s="136" t="s">
        <v>17</v>
      </c>
      <c r="U305" s="136" t="s">
        <v>17</v>
      </c>
      <c r="V305" s="136"/>
      <c r="W305" s="136"/>
      <c r="X305" s="263"/>
      <c r="Y305" s="1" t="str">
        <f t="shared" si="4"/>
        <v>_</v>
      </c>
      <c r="Z305" s="1" t="str">
        <f t="shared" si="5"/>
        <v>_</v>
      </c>
      <c r="AA305" s="25"/>
    </row>
    <row r="306" spans="1:27" s="16" customFormat="1" ht="14.25" customHeight="1" outlineLevel="1" x14ac:dyDescent="0.2">
      <c r="A306" s="31"/>
      <c r="B306" s="81"/>
      <c r="C306" s="82"/>
      <c r="D306" s="89"/>
      <c r="E306" s="91"/>
      <c r="F306" s="92"/>
      <c r="G306" s="93"/>
      <c r="H306" s="46"/>
      <c r="I306" s="42"/>
      <c r="J306" s="214"/>
      <c r="K306" s="37"/>
      <c r="L306" s="38"/>
      <c r="M306" s="38"/>
      <c r="N306" s="37"/>
      <c r="O306" s="39"/>
      <c r="P306" s="53"/>
      <c r="Q306" s="55"/>
      <c r="R306" s="137" t="s">
        <v>600</v>
      </c>
      <c r="S306" s="136" t="s">
        <v>600</v>
      </c>
      <c r="T306" s="136" t="s">
        <v>17</v>
      </c>
      <c r="U306" s="136" t="s">
        <v>17</v>
      </c>
      <c r="V306" s="136"/>
      <c r="W306" s="136"/>
      <c r="X306" s="263"/>
      <c r="Y306" s="1" t="str">
        <f t="shared" si="4"/>
        <v>_</v>
      </c>
      <c r="Z306" s="1" t="str">
        <f t="shared" si="5"/>
        <v>_</v>
      </c>
      <c r="AA306" s="25"/>
    </row>
    <row r="307" spans="1:27" s="16" customFormat="1" ht="14.25" customHeight="1" outlineLevel="1" x14ac:dyDescent="0.2">
      <c r="A307" s="31"/>
      <c r="B307" s="81"/>
      <c r="C307" s="82"/>
      <c r="D307" s="89"/>
      <c r="E307" s="91"/>
      <c r="F307" s="92"/>
      <c r="G307" s="93"/>
      <c r="H307" s="46"/>
      <c r="I307" s="42"/>
      <c r="J307" s="214"/>
      <c r="K307" s="37"/>
      <c r="L307" s="38"/>
      <c r="M307" s="38"/>
      <c r="N307" s="37"/>
      <c r="O307" s="39"/>
      <c r="P307" s="53"/>
      <c r="Q307" s="55"/>
      <c r="R307" s="137" t="s">
        <v>600</v>
      </c>
      <c r="S307" s="136" t="s">
        <v>600</v>
      </c>
      <c r="T307" s="136" t="s">
        <v>17</v>
      </c>
      <c r="U307" s="136" t="s">
        <v>17</v>
      </c>
      <c r="V307" s="136"/>
      <c r="W307" s="136"/>
      <c r="X307" s="263"/>
      <c r="Y307" s="1" t="str">
        <f t="shared" si="4"/>
        <v>_</v>
      </c>
      <c r="Z307" s="1" t="str">
        <f t="shared" si="5"/>
        <v>_</v>
      </c>
      <c r="AA307" s="25"/>
    </row>
    <row r="308" spans="1:27" s="16" customFormat="1" ht="14.25" customHeight="1" outlineLevel="1" x14ac:dyDescent="0.2">
      <c r="A308" s="31"/>
      <c r="B308" s="81"/>
      <c r="C308" s="82"/>
      <c r="D308" s="89"/>
      <c r="E308" s="91"/>
      <c r="F308" s="92"/>
      <c r="G308" s="93"/>
      <c r="H308" s="46"/>
      <c r="I308" s="42"/>
      <c r="J308" s="214"/>
      <c r="K308" s="37"/>
      <c r="L308" s="38"/>
      <c r="M308" s="38"/>
      <c r="N308" s="37"/>
      <c r="O308" s="39"/>
      <c r="P308" s="53"/>
      <c r="Q308" s="55"/>
      <c r="R308" s="137" t="s">
        <v>600</v>
      </c>
      <c r="S308" s="136" t="s">
        <v>600</v>
      </c>
      <c r="T308" s="136" t="s">
        <v>17</v>
      </c>
      <c r="U308" s="136" t="s">
        <v>17</v>
      </c>
      <c r="V308" s="136"/>
      <c r="W308" s="136"/>
      <c r="X308" s="263"/>
      <c r="Y308" s="1" t="str">
        <f t="shared" si="4"/>
        <v>_</v>
      </c>
      <c r="Z308" s="1" t="str">
        <f t="shared" si="5"/>
        <v>_</v>
      </c>
      <c r="AA308" s="25"/>
    </row>
    <row r="309" spans="1:27" s="16" customFormat="1" ht="14.25" customHeight="1" outlineLevel="1" x14ac:dyDescent="0.2">
      <c r="A309" s="31"/>
      <c r="B309" s="81"/>
      <c r="C309" s="82"/>
      <c r="D309" s="89"/>
      <c r="E309" s="91"/>
      <c r="F309" s="92"/>
      <c r="G309" s="93"/>
      <c r="H309" s="46"/>
      <c r="I309" s="42"/>
      <c r="J309" s="214"/>
      <c r="K309" s="37"/>
      <c r="L309" s="38"/>
      <c r="M309" s="38"/>
      <c r="N309" s="37"/>
      <c r="O309" s="39"/>
      <c r="P309" s="53"/>
      <c r="Q309" s="55"/>
      <c r="R309" s="137" t="s">
        <v>600</v>
      </c>
      <c r="S309" s="136" t="s">
        <v>600</v>
      </c>
      <c r="T309" s="136" t="s">
        <v>17</v>
      </c>
      <c r="U309" s="136" t="s">
        <v>17</v>
      </c>
      <c r="V309" s="136"/>
      <c r="W309" s="136"/>
      <c r="X309" s="263"/>
      <c r="Y309" s="1" t="str">
        <f t="shared" si="4"/>
        <v>_</v>
      </c>
      <c r="Z309" s="1" t="str">
        <f t="shared" si="5"/>
        <v>_</v>
      </c>
      <c r="AA309" s="25"/>
    </row>
    <row r="310" spans="1:27" s="16" customFormat="1" ht="14.25" customHeight="1" outlineLevel="1" x14ac:dyDescent="0.2">
      <c r="A310" s="31"/>
      <c r="B310" s="81"/>
      <c r="C310" s="82"/>
      <c r="D310" s="89"/>
      <c r="E310" s="91"/>
      <c r="F310" s="92"/>
      <c r="G310" s="93"/>
      <c r="H310" s="46"/>
      <c r="I310" s="42"/>
      <c r="J310" s="214"/>
      <c r="K310" s="37"/>
      <c r="L310" s="38"/>
      <c r="M310" s="38"/>
      <c r="N310" s="37"/>
      <c r="O310" s="39"/>
      <c r="P310" s="53"/>
      <c r="Q310" s="55"/>
      <c r="R310" s="137" t="s">
        <v>600</v>
      </c>
      <c r="S310" s="136" t="s">
        <v>600</v>
      </c>
      <c r="T310" s="136" t="s">
        <v>17</v>
      </c>
      <c r="U310" s="136" t="s">
        <v>17</v>
      </c>
      <c r="V310" s="136"/>
      <c r="W310" s="136"/>
      <c r="X310" s="263"/>
      <c r="Y310" s="1" t="str">
        <f t="shared" si="4"/>
        <v>_</v>
      </c>
      <c r="Z310" s="1" t="str">
        <f t="shared" si="5"/>
        <v>_</v>
      </c>
      <c r="AA310" s="25"/>
    </row>
    <row r="311" spans="1:27" s="16" customFormat="1" ht="14.25" customHeight="1" outlineLevel="1" x14ac:dyDescent="0.2">
      <c r="A311" s="31"/>
      <c r="B311" s="81"/>
      <c r="C311" s="82"/>
      <c r="D311" s="89"/>
      <c r="E311" s="91"/>
      <c r="F311" s="92"/>
      <c r="G311" s="93"/>
      <c r="H311" s="46"/>
      <c r="I311" s="42"/>
      <c r="J311" s="214"/>
      <c r="K311" s="37"/>
      <c r="L311" s="38"/>
      <c r="M311" s="38"/>
      <c r="N311" s="37"/>
      <c r="O311" s="39"/>
      <c r="P311" s="53"/>
      <c r="Q311" s="55"/>
      <c r="R311" s="137" t="s">
        <v>600</v>
      </c>
      <c r="S311" s="136" t="s">
        <v>600</v>
      </c>
      <c r="T311" s="136" t="s">
        <v>17</v>
      </c>
      <c r="U311" s="136" t="s">
        <v>17</v>
      </c>
      <c r="V311" s="136"/>
      <c r="W311" s="136"/>
      <c r="X311" s="263"/>
      <c r="Y311" s="1" t="str">
        <f t="shared" ref="Y311:Y374" si="6">IF(K311&lt;&gt;"",K311,IF(B311&lt;&gt;"",B311,"_"))</f>
        <v>_</v>
      </c>
      <c r="Z311" s="1" t="str">
        <f t="shared" ref="Z311:Z374" si="7">IF(M311&lt;&gt;"",M311,IF(D311&lt;&gt;"",D311,"_"))</f>
        <v>_</v>
      </c>
      <c r="AA311" s="25"/>
    </row>
    <row r="312" spans="1:27" s="16" customFormat="1" ht="14.25" customHeight="1" outlineLevel="1" x14ac:dyDescent="0.2">
      <c r="A312" s="31"/>
      <c r="B312" s="81"/>
      <c r="C312" s="82"/>
      <c r="D312" s="89"/>
      <c r="E312" s="91"/>
      <c r="F312" s="92"/>
      <c r="G312" s="93"/>
      <c r="H312" s="46"/>
      <c r="I312" s="42"/>
      <c r="J312" s="214"/>
      <c r="K312" s="37"/>
      <c r="L312" s="38"/>
      <c r="M312" s="38"/>
      <c r="N312" s="37"/>
      <c r="O312" s="39"/>
      <c r="P312" s="53"/>
      <c r="Q312" s="55"/>
      <c r="R312" s="137" t="s">
        <v>600</v>
      </c>
      <c r="S312" s="136" t="s">
        <v>600</v>
      </c>
      <c r="T312" s="136" t="s">
        <v>17</v>
      </c>
      <c r="U312" s="136" t="s">
        <v>17</v>
      </c>
      <c r="V312" s="136"/>
      <c r="W312" s="136"/>
      <c r="X312" s="263"/>
      <c r="Y312" s="1" t="str">
        <f t="shared" si="6"/>
        <v>_</v>
      </c>
      <c r="Z312" s="1" t="str">
        <f t="shared" si="7"/>
        <v>_</v>
      </c>
      <c r="AA312" s="25"/>
    </row>
    <row r="313" spans="1:27" s="16" customFormat="1" ht="14.25" customHeight="1" outlineLevel="1" x14ac:dyDescent="0.2">
      <c r="A313" s="31"/>
      <c r="B313" s="81"/>
      <c r="C313" s="82"/>
      <c r="D313" s="89"/>
      <c r="E313" s="91"/>
      <c r="F313" s="92"/>
      <c r="G313" s="93"/>
      <c r="H313" s="46"/>
      <c r="I313" s="42"/>
      <c r="J313" s="214"/>
      <c r="K313" s="37"/>
      <c r="L313" s="38"/>
      <c r="M313" s="38"/>
      <c r="N313" s="37"/>
      <c r="O313" s="39"/>
      <c r="P313" s="53"/>
      <c r="Q313" s="55"/>
      <c r="R313" s="137" t="s">
        <v>600</v>
      </c>
      <c r="S313" s="136" t="s">
        <v>600</v>
      </c>
      <c r="T313" s="136" t="s">
        <v>17</v>
      </c>
      <c r="U313" s="136" t="s">
        <v>17</v>
      </c>
      <c r="V313" s="136"/>
      <c r="W313" s="136"/>
      <c r="X313" s="263"/>
      <c r="Y313" s="1" t="str">
        <f t="shared" si="6"/>
        <v>_</v>
      </c>
      <c r="Z313" s="1" t="str">
        <f t="shared" si="7"/>
        <v>_</v>
      </c>
      <c r="AA313" s="25"/>
    </row>
    <row r="314" spans="1:27" s="16" customFormat="1" ht="14.25" customHeight="1" outlineLevel="1" x14ac:dyDescent="0.2">
      <c r="A314" s="31"/>
      <c r="B314" s="81"/>
      <c r="C314" s="82"/>
      <c r="D314" s="89"/>
      <c r="E314" s="91"/>
      <c r="F314" s="92"/>
      <c r="G314" s="93"/>
      <c r="H314" s="46"/>
      <c r="I314" s="42"/>
      <c r="J314" s="214"/>
      <c r="K314" s="37"/>
      <c r="L314" s="38"/>
      <c r="M314" s="38"/>
      <c r="N314" s="37"/>
      <c r="O314" s="39"/>
      <c r="P314" s="53"/>
      <c r="Q314" s="55"/>
      <c r="R314" s="137" t="s">
        <v>600</v>
      </c>
      <c r="S314" s="136" t="s">
        <v>600</v>
      </c>
      <c r="T314" s="136" t="s">
        <v>17</v>
      </c>
      <c r="U314" s="136" t="s">
        <v>17</v>
      </c>
      <c r="V314" s="136"/>
      <c r="W314" s="136"/>
      <c r="X314" s="263"/>
      <c r="Y314" s="1" t="str">
        <f t="shared" si="6"/>
        <v>_</v>
      </c>
      <c r="Z314" s="1" t="str">
        <f t="shared" si="7"/>
        <v>_</v>
      </c>
      <c r="AA314" s="25"/>
    </row>
    <row r="315" spans="1:27" s="16" customFormat="1" ht="14.25" customHeight="1" outlineLevel="1" x14ac:dyDescent="0.2">
      <c r="A315" s="31"/>
      <c r="B315" s="81"/>
      <c r="C315" s="82"/>
      <c r="D315" s="89"/>
      <c r="E315" s="91"/>
      <c r="F315" s="92"/>
      <c r="G315" s="93"/>
      <c r="H315" s="46"/>
      <c r="I315" s="42"/>
      <c r="J315" s="214"/>
      <c r="K315" s="37"/>
      <c r="L315" s="38"/>
      <c r="M315" s="38"/>
      <c r="N315" s="37"/>
      <c r="O315" s="39"/>
      <c r="P315" s="53"/>
      <c r="Q315" s="55"/>
      <c r="R315" s="137" t="s">
        <v>600</v>
      </c>
      <c r="S315" s="136" t="s">
        <v>600</v>
      </c>
      <c r="T315" s="136" t="s">
        <v>17</v>
      </c>
      <c r="U315" s="136" t="s">
        <v>17</v>
      </c>
      <c r="V315" s="136"/>
      <c r="W315" s="136"/>
      <c r="X315" s="263"/>
      <c r="Y315" s="1" t="str">
        <f t="shared" si="6"/>
        <v>_</v>
      </c>
      <c r="Z315" s="1" t="str">
        <f t="shared" si="7"/>
        <v>_</v>
      </c>
      <c r="AA315" s="25"/>
    </row>
    <row r="316" spans="1:27" s="16" customFormat="1" ht="14.25" customHeight="1" outlineLevel="1" x14ac:dyDescent="0.2">
      <c r="A316" s="31"/>
      <c r="B316" s="81"/>
      <c r="C316" s="82"/>
      <c r="D316" s="89"/>
      <c r="E316" s="91"/>
      <c r="F316" s="92"/>
      <c r="G316" s="93"/>
      <c r="H316" s="46"/>
      <c r="I316" s="42"/>
      <c r="J316" s="214"/>
      <c r="K316" s="37"/>
      <c r="L316" s="38"/>
      <c r="M316" s="38"/>
      <c r="N316" s="37"/>
      <c r="O316" s="39"/>
      <c r="P316" s="53"/>
      <c r="Q316" s="55"/>
      <c r="R316" s="137" t="s">
        <v>600</v>
      </c>
      <c r="S316" s="136" t="s">
        <v>600</v>
      </c>
      <c r="T316" s="136" t="s">
        <v>17</v>
      </c>
      <c r="U316" s="136" t="s">
        <v>17</v>
      </c>
      <c r="V316" s="136"/>
      <c r="W316" s="136"/>
      <c r="X316" s="263"/>
      <c r="Y316" s="1" t="str">
        <f t="shared" si="6"/>
        <v>_</v>
      </c>
      <c r="Z316" s="1" t="str">
        <f t="shared" si="7"/>
        <v>_</v>
      </c>
      <c r="AA316" s="25"/>
    </row>
    <row r="317" spans="1:27" s="16" customFormat="1" ht="14.25" customHeight="1" outlineLevel="1" x14ac:dyDescent="0.2">
      <c r="A317" s="31"/>
      <c r="B317" s="81"/>
      <c r="C317" s="82"/>
      <c r="D317" s="89"/>
      <c r="E317" s="91"/>
      <c r="F317" s="92"/>
      <c r="G317" s="93"/>
      <c r="H317" s="46"/>
      <c r="I317" s="42"/>
      <c r="J317" s="214"/>
      <c r="K317" s="37"/>
      <c r="L317" s="38"/>
      <c r="M317" s="38"/>
      <c r="N317" s="37"/>
      <c r="O317" s="39"/>
      <c r="P317" s="53"/>
      <c r="Q317" s="55"/>
      <c r="R317" s="137" t="s">
        <v>600</v>
      </c>
      <c r="S317" s="136" t="s">
        <v>600</v>
      </c>
      <c r="T317" s="136" t="s">
        <v>17</v>
      </c>
      <c r="U317" s="136" t="s">
        <v>17</v>
      </c>
      <c r="V317" s="136"/>
      <c r="W317" s="136"/>
      <c r="X317" s="263"/>
      <c r="Y317" s="1" t="str">
        <f t="shared" si="6"/>
        <v>_</v>
      </c>
      <c r="Z317" s="1" t="str">
        <f t="shared" si="7"/>
        <v>_</v>
      </c>
      <c r="AA317" s="25"/>
    </row>
    <row r="318" spans="1:27" s="16" customFormat="1" ht="14.25" customHeight="1" outlineLevel="1" x14ac:dyDescent="0.2">
      <c r="A318" s="31"/>
      <c r="B318" s="81"/>
      <c r="C318" s="82"/>
      <c r="D318" s="89"/>
      <c r="E318" s="91"/>
      <c r="F318" s="92"/>
      <c r="G318" s="93"/>
      <c r="H318" s="46"/>
      <c r="I318" s="42"/>
      <c r="J318" s="214"/>
      <c r="K318" s="37"/>
      <c r="L318" s="38"/>
      <c r="M318" s="38"/>
      <c r="N318" s="37"/>
      <c r="O318" s="39"/>
      <c r="P318" s="53"/>
      <c r="Q318" s="55"/>
      <c r="R318" s="137" t="s">
        <v>600</v>
      </c>
      <c r="S318" s="136" t="s">
        <v>600</v>
      </c>
      <c r="T318" s="136" t="s">
        <v>17</v>
      </c>
      <c r="U318" s="136" t="s">
        <v>17</v>
      </c>
      <c r="V318" s="136"/>
      <c r="W318" s="136"/>
      <c r="X318" s="263"/>
      <c r="Y318" s="1" t="str">
        <f t="shared" si="6"/>
        <v>_</v>
      </c>
      <c r="Z318" s="1" t="str">
        <f t="shared" si="7"/>
        <v>_</v>
      </c>
      <c r="AA318" s="25"/>
    </row>
    <row r="319" spans="1:27" s="16" customFormat="1" ht="14.25" customHeight="1" outlineLevel="1" x14ac:dyDescent="0.2">
      <c r="A319" s="31"/>
      <c r="B319" s="81"/>
      <c r="C319" s="82"/>
      <c r="D319" s="89"/>
      <c r="E319" s="91"/>
      <c r="F319" s="92"/>
      <c r="G319" s="93"/>
      <c r="H319" s="46"/>
      <c r="I319" s="42"/>
      <c r="J319" s="214"/>
      <c r="K319" s="37"/>
      <c r="L319" s="38"/>
      <c r="M319" s="38"/>
      <c r="N319" s="37"/>
      <c r="O319" s="39"/>
      <c r="P319" s="53"/>
      <c r="Q319" s="55"/>
      <c r="R319" s="137" t="s">
        <v>600</v>
      </c>
      <c r="S319" s="136" t="s">
        <v>600</v>
      </c>
      <c r="T319" s="136" t="s">
        <v>17</v>
      </c>
      <c r="U319" s="136" t="s">
        <v>17</v>
      </c>
      <c r="V319" s="136"/>
      <c r="W319" s="136"/>
      <c r="X319" s="263"/>
      <c r="Y319" s="1" t="str">
        <f t="shared" si="6"/>
        <v>_</v>
      </c>
      <c r="Z319" s="1" t="str">
        <f t="shared" si="7"/>
        <v>_</v>
      </c>
      <c r="AA319" s="25"/>
    </row>
    <row r="320" spans="1:27" s="16" customFormat="1" ht="14.25" customHeight="1" outlineLevel="1" x14ac:dyDescent="0.2">
      <c r="A320" s="31"/>
      <c r="B320" s="81"/>
      <c r="C320" s="82"/>
      <c r="D320" s="89"/>
      <c r="E320" s="91"/>
      <c r="F320" s="92"/>
      <c r="G320" s="93"/>
      <c r="H320" s="46"/>
      <c r="I320" s="42"/>
      <c r="J320" s="214"/>
      <c r="K320" s="37"/>
      <c r="L320" s="38"/>
      <c r="M320" s="38"/>
      <c r="N320" s="37"/>
      <c r="O320" s="39"/>
      <c r="P320" s="53"/>
      <c r="Q320" s="55"/>
      <c r="R320" s="137" t="s">
        <v>600</v>
      </c>
      <c r="S320" s="136" t="s">
        <v>600</v>
      </c>
      <c r="T320" s="136" t="s">
        <v>17</v>
      </c>
      <c r="U320" s="136" t="s">
        <v>17</v>
      </c>
      <c r="V320" s="136"/>
      <c r="W320" s="136"/>
      <c r="X320" s="263"/>
      <c r="Y320" s="1" t="str">
        <f t="shared" si="6"/>
        <v>_</v>
      </c>
      <c r="Z320" s="1" t="str">
        <f t="shared" si="7"/>
        <v>_</v>
      </c>
      <c r="AA320" s="25"/>
    </row>
    <row r="321" spans="1:27" s="16" customFormat="1" ht="14.25" customHeight="1" outlineLevel="1" x14ac:dyDescent="0.2">
      <c r="A321" s="31"/>
      <c r="B321" s="81"/>
      <c r="C321" s="82"/>
      <c r="D321" s="89"/>
      <c r="E321" s="91"/>
      <c r="F321" s="92"/>
      <c r="G321" s="93"/>
      <c r="H321" s="46"/>
      <c r="I321" s="42"/>
      <c r="J321" s="214"/>
      <c r="K321" s="37"/>
      <c r="L321" s="38"/>
      <c r="M321" s="38"/>
      <c r="N321" s="37"/>
      <c r="O321" s="39"/>
      <c r="P321" s="53"/>
      <c r="Q321" s="55"/>
      <c r="R321" s="137" t="s">
        <v>600</v>
      </c>
      <c r="S321" s="136" t="s">
        <v>600</v>
      </c>
      <c r="T321" s="136" t="s">
        <v>17</v>
      </c>
      <c r="U321" s="136" t="s">
        <v>17</v>
      </c>
      <c r="V321" s="136"/>
      <c r="W321" s="136"/>
      <c r="X321" s="263"/>
      <c r="Y321" s="1" t="str">
        <f t="shared" si="6"/>
        <v>_</v>
      </c>
      <c r="Z321" s="1" t="str">
        <f t="shared" si="7"/>
        <v>_</v>
      </c>
      <c r="AA321" s="25"/>
    </row>
    <row r="322" spans="1:27" s="16" customFormat="1" ht="14.25" customHeight="1" outlineLevel="1" x14ac:dyDescent="0.2">
      <c r="A322" s="31"/>
      <c r="B322" s="81"/>
      <c r="C322" s="82"/>
      <c r="D322" s="89"/>
      <c r="E322" s="91"/>
      <c r="F322" s="92"/>
      <c r="G322" s="93"/>
      <c r="H322" s="46"/>
      <c r="I322" s="42"/>
      <c r="J322" s="214"/>
      <c r="K322" s="37"/>
      <c r="L322" s="38"/>
      <c r="M322" s="38"/>
      <c r="N322" s="37"/>
      <c r="O322" s="39"/>
      <c r="P322" s="53"/>
      <c r="Q322" s="55"/>
      <c r="R322" s="137" t="s">
        <v>600</v>
      </c>
      <c r="S322" s="136" t="s">
        <v>600</v>
      </c>
      <c r="T322" s="136" t="s">
        <v>17</v>
      </c>
      <c r="U322" s="136" t="s">
        <v>17</v>
      </c>
      <c r="V322" s="136"/>
      <c r="W322" s="136"/>
      <c r="X322" s="263"/>
      <c r="Y322" s="1" t="str">
        <f t="shared" si="6"/>
        <v>_</v>
      </c>
      <c r="Z322" s="1" t="str">
        <f t="shared" si="7"/>
        <v>_</v>
      </c>
      <c r="AA322" s="25"/>
    </row>
    <row r="323" spans="1:27" s="16" customFormat="1" ht="14.25" customHeight="1" outlineLevel="1" x14ac:dyDescent="0.2">
      <c r="A323" s="31"/>
      <c r="B323" s="81"/>
      <c r="C323" s="82"/>
      <c r="D323" s="89"/>
      <c r="E323" s="91"/>
      <c r="F323" s="92"/>
      <c r="G323" s="93"/>
      <c r="H323" s="46"/>
      <c r="I323" s="42"/>
      <c r="J323" s="214"/>
      <c r="K323" s="37"/>
      <c r="L323" s="38"/>
      <c r="M323" s="38"/>
      <c r="N323" s="37"/>
      <c r="O323" s="39"/>
      <c r="P323" s="53"/>
      <c r="Q323" s="55"/>
      <c r="R323" s="137" t="s">
        <v>600</v>
      </c>
      <c r="S323" s="136" t="s">
        <v>600</v>
      </c>
      <c r="T323" s="136" t="s">
        <v>17</v>
      </c>
      <c r="U323" s="136" t="s">
        <v>17</v>
      </c>
      <c r="V323" s="136"/>
      <c r="W323" s="136"/>
      <c r="X323" s="263"/>
      <c r="Y323" s="1" t="str">
        <f t="shared" si="6"/>
        <v>_</v>
      </c>
      <c r="Z323" s="1" t="str">
        <f t="shared" si="7"/>
        <v>_</v>
      </c>
      <c r="AA323" s="25"/>
    </row>
    <row r="324" spans="1:27" s="16" customFormat="1" ht="14.25" customHeight="1" outlineLevel="1" x14ac:dyDescent="0.2">
      <c r="A324" s="31"/>
      <c r="B324" s="81"/>
      <c r="C324" s="82"/>
      <c r="D324" s="89"/>
      <c r="E324" s="91"/>
      <c r="F324" s="92"/>
      <c r="G324" s="93"/>
      <c r="H324" s="46"/>
      <c r="I324" s="42"/>
      <c r="J324" s="214"/>
      <c r="K324" s="37"/>
      <c r="L324" s="38"/>
      <c r="M324" s="38"/>
      <c r="N324" s="37"/>
      <c r="O324" s="39"/>
      <c r="P324" s="53"/>
      <c r="Q324" s="55"/>
      <c r="R324" s="137" t="s">
        <v>600</v>
      </c>
      <c r="S324" s="136" t="s">
        <v>600</v>
      </c>
      <c r="T324" s="136" t="s">
        <v>17</v>
      </c>
      <c r="U324" s="136" t="s">
        <v>17</v>
      </c>
      <c r="V324" s="136"/>
      <c r="W324" s="136"/>
      <c r="X324" s="263"/>
      <c r="Y324" s="1" t="str">
        <f t="shared" si="6"/>
        <v>_</v>
      </c>
      <c r="Z324" s="1" t="str">
        <f t="shared" si="7"/>
        <v>_</v>
      </c>
      <c r="AA324" s="25"/>
    </row>
    <row r="325" spans="1:27" s="16" customFormat="1" ht="14.25" customHeight="1" outlineLevel="1" x14ac:dyDescent="0.2">
      <c r="A325" s="31"/>
      <c r="B325" s="81"/>
      <c r="C325" s="82"/>
      <c r="D325" s="89"/>
      <c r="E325" s="91"/>
      <c r="F325" s="92"/>
      <c r="G325" s="93"/>
      <c r="H325" s="46"/>
      <c r="I325" s="42"/>
      <c r="J325" s="214"/>
      <c r="K325" s="37"/>
      <c r="L325" s="38"/>
      <c r="M325" s="38"/>
      <c r="N325" s="37"/>
      <c r="O325" s="39"/>
      <c r="P325" s="53"/>
      <c r="Q325" s="55"/>
      <c r="R325" s="137" t="s">
        <v>600</v>
      </c>
      <c r="S325" s="136" t="s">
        <v>600</v>
      </c>
      <c r="T325" s="136" t="s">
        <v>17</v>
      </c>
      <c r="U325" s="136" t="s">
        <v>17</v>
      </c>
      <c r="V325" s="136"/>
      <c r="W325" s="136"/>
      <c r="X325" s="263"/>
      <c r="Y325" s="1" t="str">
        <f t="shared" si="6"/>
        <v>_</v>
      </c>
      <c r="Z325" s="1" t="str">
        <f t="shared" si="7"/>
        <v>_</v>
      </c>
      <c r="AA325" s="25"/>
    </row>
    <row r="326" spans="1:27" s="16" customFormat="1" ht="14.25" customHeight="1" outlineLevel="1" x14ac:dyDescent="0.2">
      <c r="A326" s="31"/>
      <c r="B326" s="81"/>
      <c r="C326" s="82"/>
      <c r="D326" s="89"/>
      <c r="E326" s="91"/>
      <c r="F326" s="92"/>
      <c r="G326" s="93"/>
      <c r="H326" s="46"/>
      <c r="I326" s="42"/>
      <c r="J326" s="214"/>
      <c r="K326" s="37"/>
      <c r="L326" s="38"/>
      <c r="M326" s="38"/>
      <c r="N326" s="37"/>
      <c r="O326" s="39"/>
      <c r="P326" s="53"/>
      <c r="Q326" s="55"/>
      <c r="R326" s="137" t="s">
        <v>600</v>
      </c>
      <c r="S326" s="136" t="s">
        <v>600</v>
      </c>
      <c r="T326" s="136" t="s">
        <v>17</v>
      </c>
      <c r="U326" s="136" t="s">
        <v>17</v>
      </c>
      <c r="V326" s="136"/>
      <c r="W326" s="136"/>
      <c r="X326" s="263"/>
      <c r="Y326" s="1" t="str">
        <f t="shared" si="6"/>
        <v>_</v>
      </c>
      <c r="Z326" s="1" t="str">
        <f t="shared" si="7"/>
        <v>_</v>
      </c>
      <c r="AA326" s="25"/>
    </row>
    <row r="327" spans="1:27" s="16" customFormat="1" ht="14.25" customHeight="1" outlineLevel="1" x14ac:dyDescent="0.2">
      <c r="A327" s="31"/>
      <c r="B327" s="81"/>
      <c r="C327" s="82"/>
      <c r="D327" s="89"/>
      <c r="E327" s="91"/>
      <c r="F327" s="92"/>
      <c r="G327" s="93"/>
      <c r="H327" s="46"/>
      <c r="I327" s="42"/>
      <c r="J327" s="214"/>
      <c r="K327" s="37"/>
      <c r="L327" s="38"/>
      <c r="M327" s="38"/>
      <c r="N327" s="37"/>
      <c r="O327" s="39"/>
      <c r="P327" s="53"/>
      <c r="Q327" s="55"/>
      <c r="R327" s="137" t="s">
        <v>600</v>
      </c>
      <c r="S327" s="136" t="s">
        <v>600</v>
      </c>
      <c r="T327" s="136" t="s">
        <v>17</v>
      </c>
      <c r="U327" s="136" t="s">
        <v>17</v>
      </c>
      <c r="V327" s="136"/>
      <c r="W327" s="136"/>
      <c r="X327" s="263"/>
      <c r="Y327" s="1" t="str">
        <f t="shared" si="6"/>
        <v>_</v>
      </c>
      <c r="Z327" s="1" t="str">
        <f t="shared" si="7"/>
        <v>_</v>
      </c>
      <c r="AA327" s="25"/>
    </row>
    <row r="328" spans="1:27" s="16" customFormat="1" ht="14.25" customHeight="1" outlineLevel="1" x14ac:dyDescent="0.2">
      <c r="A328" s="31"/>
      <c r="B328" s="81"/>
      <c r="C328" s="82"/>
      <c r="D328" s="89"/>
      <c r="E328" s="91"/>
      <c r="F328" s="92"/>
      <c r="G328" s="93"/>
      <c r="H328" s="46"/>
      <c r="I328" s="42"/>
      <c r="J328" s="214"/>
      <c r="K328" s="37"/>
      <c r="L328" s="38"/>
      <c r="M328" s="38"/>
      <c r="N328" s="37"/>
      <c r="O328" s="39"/>
      <c r="P328" s="53"/>
      <c r="Q328" s="55"/>
      <c r="R328" s="137" t="s">
        <v>600</v>
      </c>
      <c r="S328" s="136" t="s">
        <v>600</v>
      </c>
      <c r="T328" s="136" t="s">
        <v>17</v>
      </c>
      <c r="U328" s="136" t="s">
        <v>17</v>
      </c>
      <c r="V328" s="136"/>
      <c r="W328" s="136"/>
      <c r="X328" s="263"/>
      <c r="Y328" s="1" t="str">
        <f t="shared" si="6"/>
        <v>_</v>
      </c>
      <c r="Z328" s="1" t="str">
        <f t="shared" si="7"/>
        <v>_</v>
      </c>
      <c r="AA328" s="25"/>
    </row>
    <row r="329" spans="1:27" s="16" customFormat="1" ht="14.25" customHeight="1" outlineLevel="1" x14ac:dyDescent="0.2">
      <c r="A329" s="31"/>
      <c r="B329" s="81"/>
      <c r="C329" s="82"/>
      <c r="D329" s="89"/>
      <c r="E329" s="91"/>
      <c r="F329" s="92"/>
      <c r="G329" s="93"/>
      <c r="H329" s="46"/>
      <c r="I329" s="42"/>
      <c r="J329" s="214"/>
      <c r="K329" s="37"/>
      <c r="L329" s="38"/>
      <c r="M329" s="38"/>
      <c r="N329" s="37"/>
      <c r="O329" s="39"/>
      <c r="P329" s="53"/>
      <c r="Q329" s="55"/>
      <c r="R329" s="137" t="s">
        <v>600</v>
      </c>
      <c r="S329" s="136" t="s">
        <v>600</v>
      </c>
      <c r="T329" s="136" t="s">
        <v>17</v>
      </c>
      <c r="U329" s="136" t="s">
        <v>17</v>
      </c>
      <c r="V329" s="136"/>
      <c r="W329" s="136"/>
      <c r="X329" s="263"/>
      <c r="Y329" s="1" t="str">
        <f t="shared" si="6"/>
        <v>_</v>
      </c>
      <c r="Z329" s="1" t="str">
        <f t="shared" si="7"/>
        <v>_</v>
      </c>
      <c r="AA329" s="25"/>
    </row>
    <row r="330" spans="1:27" s="16" customFormat="1" ht="14.25" customHeight="1" outlineLevel="1" x14ac:dyDescent="0.2">
      <c r="A330" s="31"/>
      <c r="B330" s="81"/>
      <c r="C330" s="82"/>
      <c r="D330" s="89"/>
      <c r="E330" s="91"/>
      <c r="F330" s="92"/>
      <c r="G330" s="93"/>
      <c r="H330" s="46"/>
      <c r="I330" s="42"/>
      <c r="J330" s="214"/>
      <c r="K330" s="37"/>
      <c r="L330" s="38"/>
      <c r="M330" s="38"/>
      <c r="N330" s="37"/>
      <c r="O330" s="39"/>
      <c r="P330" s="53"/>
      <c r="Q330" s="55"/>
      <c r="R330" s="137" t="s">
        <v>600</v>
      </c>
      <c r="S330" s="136" t="s">
        <v>600</v>
      </c>
      <c r="T330" s="136" t="s">
        <v>17</v>
      </c>
      <c r="U330" s="136" t="s">
        <v>17</v>
      </c>
      <c r="V330" s="136"/>
      <c r="W330" s="136"/>
      <c r="X330" s="263"/>
      <c r="Y330" s="1" t="str">
        <f t="shared" si="6"/>
        <v>_</v>
      </c>
      <c r="Z330" s="1" t="str">
        <f t="shared" si="7"/>
        <v>_</v>
      </c>
      <c r="AA330" s="25"/>
    </row>
    <row r="331" spans="1:27" s="16" customFormat="1" ht="14.25" customHeight="1" outlineLevel="1" x14ac:dyDescent="0.2">
      <c r="A331" s="31"/>
      <c r="B331" s="81"/>
      <c r="C331" s="82"/>
      <c r="D331" s="89"/>
      <c r="E331" s="91"/>
      <c r="F331" s="92"/>
      <c r="G331" s="93"/>
      <c r="H331" s="46"/>
      <c r="I331" s="42"/>
      <c r="J331" s="214"/>
      <c r="K331" s="37"/>
      <c r="L331" s="38"/>
      <c r="M331" s="38"/>
      <c r="N331" s="37"/>
      <c r="O331" s="39"/>
      <c r="P331" s="53"/>
      <c r="Q331" s="55"/>
      <c r="R331" s="137" t="s">
        <v>600</v>
      </c>
      <c r="S331" s="136" t="s">
        <v>600</v>
      </c>
      <c r="T331" s="136" t="s">
        <v>17</v>
      </c>
      <c r="U331" s="136" t="s">
        <v>17</v>
      </c>
      <c r="V331" s="136"/>
      <c r="W331" s="136"/>
      <c r="X331" s="263"/>
      <c r="Y331" s="1" t="str">
        <f t="shared" si="6"/>
        <v>_</v>
      </c>
      <c r="Z331" s="1" t="str">
        <f t="shared" si="7"/>
        <v>_</v>
      </c>
      <c r="AA331" s="25"/>
    </row>
    <row r="332" spans="1:27" s="16" customFormat="1" ht="14.25" customHeight="1" outlineLevel="1" x14ac:dyDescent="0.2">
      <c r="A332" s="31"/>
      <c r="B332" s="81"/>
      <c r="C332" s="82"/>
      <c r="D332" s="89"/>
      <c r="E332" s="91"/>
      <c r="F332" s="92"/>
      <c r="G332" s="93"/>
      <c r="H332" s="46"/>
      <c r="I332" s="42"/>
      <c r="J332" s="214"/>
      <c r="K332" s="37"/>
      <c r="L332" s="38"/>
      <c r="M332" s="38"/>
      <c r="N332" s="37"/>
      <c r="O332" s="39"/>
      <c r="P332" s="53"/>
      <c r="Q332" s="55"/>
      <c r="R332" s="137" t="s">
        <v>600</v>
      </c>
      <c r="S332" s="136" t="s">
        <v>600</v>
      </c>
      <c r="T332" s="136" t="s">
        <v>17</v>
      </c>
      <c r="U332" s="136" t="s">
        <v>17</v>
      </c>
      <c r="V332" s="136"/>
      <c r="W332" s="136"/>
      <c r="X332" s="263"/>
      <c r="Y332" s="1" t="str">
        <f t="shared" si="6"/>
        <v>_</v>
      </c>
      <c r="Z332" s="1" t="str">
        <f t="shared" si="7"/>
        <v>_</v>
      </c>
      <c r="AA332" s="25"/>
    </row>
    <row r="333" spans="1:27" s="16" customFormat="1" ht="14.25" customHeight="1" outlineLevel="1" x14ac:dyDescent="0.2">
      <c r="A333" s="31"/>
      <c r="B333" s="81"/>
      <c r="C333" s="82"/>
      <c r="D333" s="89"/>
      <c r="E333" s="91"/>
      <c r="F333" s="92"/>
      <c r="G333" s="93"/>
      <c r="H333" s="46"/>
      <c r="I333" s="42"/>
      <c r="J333" s="214"/>
      <c r="K333" s="37"/>
      <c r="L333" s="38"/>
      <c r="M333" s="38"/>
      <c r="N333" s="37"/>
      <c r="O333" s="39"/>
      <c r="P333" s="53"/>
      <c r="Q333" s="55"/>
      <c r="R333" s="137" t="s">
        <v>600</v>
      </c>
      <c r="S333" s="136" t="s">
        <v>600</v>
      </c>
      <c r="T333" s="136" t="s">
        <v>17</v>
      </c>
      <c r="U333" s="136" t="s">
        <v>17</v>
      </c>
      <c r="V333" s="136"/>
      <c r="W333" s="136"/>
      <c r="X333" s="263"/>
      <c r="Y333" s="1" t="str">
        <f t="shared" si="6"/>
        <v>_</v>
      </c>
      <c r="Z333" s="1" t="str">
        <f t="shared" si="7"/>
        <v>_</v>
      </c>
      <c r="AA333" s="25"/>
    </row>
    <row r="334" spans="1:27" s="16" customFormat="1" ht="14.25" customHeight="1" outlineLevel="1" x14ac:dyDescent="0.2">
      <c r="A334" s="31"/>
      <c r="B334" s="81"/>
      <c r="C334" s="82"/>
      <c r="D334" s="89"/>
      <c r="E334" s="91"/>
      <c r="F334" s="92"/>
      <c r="G334" s="93"/>
      <c r="H334" s="46"/>
      <c r="I334" s="42"/>
      <c r="J334" s="214"/>
      <c r="K334" s="37"/>
      <c r="L334" s="38"/>
      <c r="M334" s="38"/>
      <c r="N334" s="37"/>
      <c r="O334" s="39"/>
      <c r="P334" s="53"/>
      <c r="Q334" s="55"/>
      <c r="R334" s="137" t="s">
        <v>600</v>
      </c>
      <c r="S334" s="136" t="s">
        <v>600</v>
      </c>
      <c r="T334" s="136" t="s">
        <v>17</v>
      </c>
      <c r="U334" s="136" t="s">
        <v>17</v>
      </c>
      <c r="V334" s="136"/>
      <c r="W334" s="136"/>
      <c r="X334" s="263"/>
      <c r="Y334" s="1" t="str">
        <f t="shared" si="6"/>
        <v>_</v>
      </c>
      <c r="Z334" s="1" t="str">
        <f t="shared" si="7"/>
        <v>_</v>
      </c>
      <c r="AA334" s="25"/>
    </row>
    <row r="335" spans="1:27" s="16" customFormat="1" ht="14.25" customHeight="1" outlineLevel="1" x14ac:dyDescent="0.2">
      <c r="A335" s="31"/>
      <c r="B335" s="81"/>
      <c r="C335" s="82"/>
      <c r="D335" s="89"/>
      <c r="E335" s="91"/>
      <c r="F335" s="92"/>
      <c r="G335" s="93"/>
      <c r="H335" s="46"/>
      <c r="I335" s="42"/>
      <c r="J335" s="214"/>
      <c r="K335" s="37"/>
      <c r="L335" s="38"/>
      <c r="M335" s="38"/>
      <c r="N335" s="37"/>
      <c r="O335" s="39"/>
      <c r="P335" s="53"/>
      <c r="Q335" s="55"/>
      <c r="R335" s="137" t="s">
        <v>600</v>
      </c>
      <c r="S335" s="136" t="s">
        <v>600</v>
      </c>
      <c r="T335" s="136" t="s">
        <v>17</v>
      </c>
      <c r="U335" s="136" t="s">
        <v>17</v>
      </c>
      <c r="V335" s="136"/>
      <c r="W335" s="136"/>
      <c r="X335" s="263"/>
      <c r="Y335" s="1" t="str">
        <f t="shared" si="6"/>
        <v>_</v>
      </c>
      <c r="Z335" s="1" t="str">
        <f t="shared" si="7"/>
        <v>_</v>
      </c>
      <c r="AA335" s="25"/>
    </row>
    <row r="336" spans="1:27" s="16" customFormat="1" ht="14.25" customHeight="1" outlineLevel="1" x14ac:dyDescent="0.2">
      <c r="A336" s="31"/>
      <c r="B336" s="81"/>
      <c r="C336" s="82"/>
      <c r="D336" s="89"/>
      <c r="E336" s="91"/>
      <c r="F336" s="92"/>
      <c r="G336" s="93"/>
      <c r="H336" s="46"/>
      <c r="I336" s="42"/>
      <c r="J336" s="214"/>
      <c r="K336" s="37"/>
      <c r="L336" s="38"/>
      <c r="M336" s="38"/>
      <c r="N336" s="37"/>
      <c r="O336" s="39"/>
      <c r="P336" s="53"/>
      <c r="Q336" s="55"/>
      <c r="R336" s="137" t="s">
        <v>600</v>
      </c>
      <c r="S336" s="136" t="s">
        <v>600</v>
      </c>
      <c r="T336" s="136" t="s">
        <v>17</v>
      </c>
      <c r="U336" s="136" t="s">
        <v>17</v>
      </c>
      <c r="V336" s="136"/>
      <c r="W336" s="136"/>
      <c r="X336" s="263"/>
      <c r="Y336" s="1" t="str">
        <f t="shared" si="6"/>
        <v>_</v>
      </c>
      <c r="Z336" s="1" t="str">
        <f t="shared" si="7"/>
        <v>_</v>
      </c>
      <c r="AA336" s="25"/>
    </row>
    <row r="337" spans="1:27" s="16" customFormat="1" ht="14.25" customHeight="1" outlineLevel="1" x14ac:dyDescent="0.2">
      <c r="A337" s="31"/>
      <c r="B337" s="81"/>
      <c r="C337" s="82"/>
      <c r="D337" s="89"/>
      <c r="E337" s="91"/>
      <c r="F337" s="92"/>
      <c r="G337" s="93"/>
      <c r="H337" s="46"/>
      <c r="I337" s="42"/>
      <c r="J337" s="214"/>
      <c r="K337" s="37"/>
      <c r="L337" s="38"/>
      <c r="M337" s="38"/>
      <c r="N337" s="37"/>
      <c r="O337" s="39"/>
      <c r="P337" s="53"/>
      <c r="Q337" s="55"/>
      <c r="R337" s="137" t="s">
        <v>600</v>
      </c>
      <c r="S337" s="136" t="s">
        <v>600</v>
      </c>
      <c r="T337" s="136" t="s">
        <v>17</v>
      </c>
      <c r="U337" s="136" t="s">
        <v>17</v>
      </c>
      <c r="V337" s="136"/>
      <c r="W337" s="136"/>
      <c r="X337" s="263"/>
      <c r="Y337" s="1" t="str">
        <f t="shared" si="6"/>
        <v>_</v>
      </c>
      <c r="Z337" s="1" t="str">
        <f t="shared" si="7"/>
        <v>_</v>
      </c>
      <c r="AA337" s="25"/>
    </row>
    <row r="338" spans="1:27" s="16" customFormat="1" ht="14.25" customHeight="1" outlineLevel="1" x14ac:dyDescent="0.2">
      <c r="A338" s="31"/>
      <c r="B338" s="81"/>
      <c r="C338" s="82"/>
      <c r="D338" s="89"/>
      <c r="E338" s="91"/>
      <c r="F338" s="92"/>
      <c r="G338" s="93"/>
      <c r="H338" s="46"/>
      <c r="I338" s="42"/>
      <c r="J338" s="214"/>
      <c r="K338" s="37"/>
      <c r="L338" s="38"/>
      <c r="M338" s="38"/>
      <c r="N338" s="37"/>
      <c r="O338" s="39"/>
      <c r="P338" s="53"/>
      <c r="Q338" s="55"/>
      <c r="R338" s="137" t="s">
        <v>600</v>
      </c>
      <c r="S338" s="136" t="s">
        <v>600</v>
      </c>
      <c r="T338" s="136" t="s">
        <v>17</v>
      </c>
      <c r="U338" s="136" t="s">
        <v>17</v>
      </c>
      <c r="V338" s="136"/>
      <c r="W338" s="136"/>
      <c r="X338" s="263"/>
      <c r="Y338" s="1" t="str">
        <f t="shared" si="6"/>
        <v>_</v>
      </c>
      <c r="Z338" s="1" t="str">
        <f t="shared" si="7"/>
        <v>_</v>
      </c>
      <c r="AA338" s="25"/>
    </row>
    <row r="339" spans="1:27" s="16" customFormat="1" ht="14.25" customHeight="1" outlineLevel="1" x14ac:dyDescent="0.2">
      <c r="A339" s="31"/>
      <c r="B339" s="81"/>
      <c r="C339" s="82"/>
      <c r="D339" s="89"/>
      <c r="E339" s="91"/>
      <c r="F339" s="92"/>
      <c r="G339" s="93"/>
      <c r="H339" s="46"/>
      <c r="I339" s="42"/>
      <c r="J339" s="214"/>
      <c r="K339" s="37"/>
      <c r="L339" s="38"/>
      <c r="M339" s="38"/>
      <c r="N339" s="37"/>
      <c r="O339" s="39"/>
      <c r="P339" s="53"/>
      <c r="Q339" s="55"/>
      <c r="R339" s="137" t="s">
        <v>600</v>
      </c>
      <c r="S339" s="136" t="s">
        <v>600</v>
      </c>
      <c r="T339" s="136" t="s">
        <v>17</v>
      </c>
      <c r="U339" s="136" t="s">
        <v>17</v>
      </c>
      <c r="V339" s="136"/>
      <c r="W339" s="136"/>
      <c r="X339" s="263"/>
      <c r="Y339" s="1" t="str">
        <f t="shared" si="6"/>
        <v>_</v>
      </c>
      <c r="Z339" s="1" t="str">
        <f t="shared" si="7"/>
        <v>_</v>
      </c>
      <c r="AA339" s="25"/>
    </row>
    <row r="340" spans="1:27" s="16" customFormat="1" ht="14.25" customHeight="1" outlineLevel="1" x14ac:dyDescent="0.2">
      <c r="A340" s="31"/>
      <c r="B340" s="81"/>
      <c r="C340" s="82"/>
      <c r="D340" s="89"/>
      <c r="E340" s="91"/>
      <c r="F340" s="92"/>
      <c r="G340" s="93"/>
      <c r="H340" s="46"/>
      <c r="I340" s="42"/>
      <c r="J340" s="214"/>
      <c r="K340" s="37"/>
      <c r="L340" s="38"/>
      <c r="M340" s="38"/>
      <c r="N340" s="37"/>
      <c r="O340" s="39"/>
      <c r="P340" s="53"/>
      <c r="Q340" s="55"/>
      <c r="R340" s="137" t="s">
        <v>600</v>
      </c>
      <c r="S340" s="136" t="s">
        <v>600</v>
      </c>
      <c r="T340" s="136" t="s">
        <v>17</v>
      </c>
      <c r="U340" s="136" t="s">
        <v>17</v>
      </c>
      <c r="V340" s="136"/>
      <c r="W340" s="136"/>
      <c r="X340" s="263"/>
      <c r="Y340" s="1" t="str">
        <f t="shared" si="6"/>
        <v>_</v>
      </c>
      <c r="Z340" s="1" t="str">
        <f t="shared" si="7"/>
        <v>_</v>
      </c>
      <c r="AA340" s="25"/>
    </row>
    <row r="341" spans="1:27" s="16" customFormat="1" ht="14.25" customHeight="1" outlineLevel="1" x14ac:dyDescent="0.2">
      <c r="A341" s="31"/>
      <c r="B341" s="81"/>
      <c r="C341" s="82"/>
      <c r="D341" s="89"/>
      <c r="E341" s="91"/>
      <c r="F341" s="92"/>
      <c r="G341" s="93"/>
      <c r="H341" s="46"/>
      <c r="I341" s="42"/>
      <c r="J341" s="214"/>
      <c r="K341" s="37"/>
      <c r="L341" s="38"/>
      <c r="M341" s="38"/>
      <c r="N341" s="37"/>
      <c r="O341" s="39"/>
      <c r="P341" s="53"/>
      <c r="Q341" s="55"/>
      <c r="R341" s="137" t="s">
        <v>600</v>
      </c>
      <c r="S341" s="136" t="s">
        <v>600</v>
      </c>
      <c r="T341" s="136" t="s">
        <v>17</v>
      </c>
      <c r="U341" s="136" t="s">
        <v>17</v>
      </c>
      <c r="V341" s="136"/>
      <c r="W341" s="136"/>
      <c r="X341" s="263"/>
      <c r="Y341" s="1" t="str">
        <f t="shared" si="6"/>
        <v>_</v>
      </c>
      <c r="Z341" s="1" t="str">
        <f t="shared" si="7"/>
        <v>_</v>
      </c>
      <c r="AA341" s="25"/>
    </row>
    <row r="342" spans="1:27" s="16" customFormat="1" ht="14.25" customHeight="1" outlineLevel="1" x14ac:dyDescent="0.2">
      <c r="A342" s="31"/>
      <c r="B342" s="81"/>
      <c r="C342" s="82"/>
      <c r="D342" s="89"/>
      <c r="E342" s="91"/>
      <c r="F342" s="92"/>
      <c r="G342" s="93"/>
      <c r="H342" s="46"/>
      <c r="I342" s="42"/>
      <c r="J342" s="214"/>
      <c r="K342" s="37"/>
      <c r="L342" s="38"/>
      <c r="M342" s="38"/>
      <c r="N342" s="37"/>
      <c r="O342" s="39"/>
      <c r="P342" s="53"/>
      <c r="Q342" s="55"/>
      <c r="R342" s="137" t="s">
        <v>600</v>
      </c>
      <c r="S342" s="136" t="s">
        <v>600</v>
      </c>
      <c r="T342" s="136" t="s">
        <v>17</v>
      </c>
      <c r="U342" s="136" t="s">
        <v>17</v>
      </c>
      <c r="V342" s="136"/>
      <c r="W342" s="136"/>
      <c r="X342" s="263"/>
      <c r="Y342" s="1" t="str">
        <f t="shared" si="6"/>
        <v>_</v>
      </c>
      <c r="Z342" s="1" t="str">
        <f t="shared" si="7"/>
        <v>_</v>
      </c>
      <c r="AA342" s="25"/>
    </row>
    <row r="343" spans="1:27" s="16" customFormat="1" ht="14.25" customHeight="1" outlineLevel="1" x14ac:dyDescent="0.2">
      <c r="A343" s="31"/>
      <c r="B343" s="81"/>
      <c r="C343" s="82"/>
      <c r="D343" s="89"/>
      <c r="E343" s="91"/>
      <c r="F343" s="92"/>
      <c r="G343" s="93"/>
      <c r="H343" s="46"/>
      <c r="I343" s="42"/>
      <c r="J343" s="214"/>
      <c r="K343" s="37"/>
      <c r="L343" s="38"/>
      <c r="M343" s="38"/>
      <c r="N343" s="37"/>
      <c r="O343" s="39"/>
      <c r="P343" s="53"/>
      <c r="Q343" s="55"/>
      <c r="R343" s="137" t="s">
        <v>600</v>
      </c>
      <c r="S343" s="136" t="s">
        <v>600</v>
      </c>
      <c r="T343" s="136" t="s">
        <v>17</v>
      </c>
      <c r="U343" s="136" t="s">
        <v>17</v>
      </c>
      <c r="V343" s="136"/>
      <c r="W343" s="136"/>
      <c r="X343" s="263"/>
      <c r="Y343" s="1" t="str">
        <f t="shared" si="6"/>
        <v>_</v>
      </c>
      <c r="Z343" s="1" t="str">
        <f t="shared" si="7"/>
        <v>_</v>
      </c>
      <c r="AA343" s="25"/>
    </row>
    <row r="344" spans="1:27" s="16" customFormat="1" ht="14.25" customHeight="1" outlineLevel="1" x14ac:dyDescent="0.2">
      <c r="A344" s="31"/>
      <c r="B344" s="81"/>
      <c r="C344" s="82"/>
      <c r="D344" s="89"/>
      <c r="E344" s="91"/>
      <c r="F344" s="92"/>
      <c r="G344" s="93"/>
      <c r="H344" s="46"/>
      <c r="I344" s="42"/>
      <c r="J344" s="214"/>
      <c r="K344" s="37"/>
      <c r="L344" s="38"/>
      <c r="M344" s="38"/>
      <c r="N344" s="37"/>
      <c r="O344" s="39"/>
      <c r="P344" s="53"/>
      <c r="Q344" s="55"/>
      <c r="R344" s="137" t="s">
        <v>600</v>
      </c>
      <c r="S344" s="136" t="s">
        <v>600</v>
      </c>
      <c r="T344" s="136" t="s">
        <v>17</v>
      </c>
      <c r="U344" s="136" t="s">
        <v>17</v>
      </c>
      <c r="V344" s="136"/>
      <c r="W344" s="136"/>
      <c r="X344" s="263"/>
      <c r="Y344" s="1" t="str">
        <f t="shared" si="6"/>
        <v>_</v>
      </c>
      <c r="Z344" s="1" t="str">
        <f t="shared" si="7"/>
        <v>_</v>
      </c>
      <c r="AA344" s="25"/>
    </row>
    <row r="345" spans="1:27" s="16" customFormat="1" ht="14.25" customHeight="1" outlineLevel="1" x14ac:dyDescent="0.2">
      <c r="A345" s="31"/>
      <c r="B345" s="81"/>
      <c r="C345" s="82"/>
      <c r="D345" s="89"/>
      <c r="E345" s="91"/>
      <c r="F345" s="92"/>
      <c r="G345" s="93"/>
      <c r="H345" s="46"/>
      <c r="I345" s="42"/>
      <c r="J345" s="214"/>
      <c r="K345" s="37"/>
      <c r="L345" s="38"/>
      <c r="M345" s="38"/>
      <c r="N345" s="37"/>
      <c r="O345" s="39"/>
      <c r="P345" s="53"/>
      <c r="Q345" s="55"/>
      <c r="R345" s="137" t="s">
        <v>600</v>
      </c>
      <c r="S345" s="136" t="s">
        <v>600</v>
      </c>
      <c r="T345" s="136" t="s">
        <v>17</v>
      </c>
      <c r="U345" s="136" t="s">
        <v>17</v>
      </c>
      <c r="V345" s="136"/>
      <c r="W345" s="136"/>
      <c r="X345" s="263"/>
      <c r="Y345" s="1" t="str">
        <f t="shared" si="6"/>
        <v>_</v>
      </c>
      <c r="Z345" s="1" t="str">
        <f t="shared" si="7"/>
        <v>_</v>
      </c>
      <c r="AA345" s="25"/>
    </row>
    <row r="346" spans="1:27" s="16" customFormat="1" ht="14.25" customHeight="1" outlineLevel="1" x14ac:dyDescent="0.2">
      <c r="A346" s="31"/>
      <c r="B346" s="81"/>
      <c r="C346" s="82"/>
      <c r="D346" s="89"/>
      <c r="E346" s="91"/>
      <c r="F346" s="92"/>
      <c r="G346" s="93"/>
      <c r="H346" s="46"/>
      <c r="I346" s="42"/>
      <c r="J346" s="214"/>
      <c r="K346" s="37"/>
      <c r="L346" s="38"/>
      <c r="M346" s="38"/>
      <c r="N346" s="37"/>
      <c r="O346" s="39"/>
      <c r="P346" s="53"/>
      <c r="Q346" s="55"/>
      <c r="R346" s="137" t="s">
        <v>600</v>
      </c>
      <c r="S346" s="136" t="s">
        <v>600</v>
      </c>
      <c r="T346" s="136" t="s">
        <v>17</v>
      </c>
      <c r="U346" s="136" t="s">
        <v>17</v>
      </c>
      <c r="V346" s="136"/>
      <c r="W346" s="136"/>
      <c r="X346" s="263"/>
      <c r="Y346" s="1" t="str">
        <f t="shared" si="6"/>
        <v>_</v>
      </c>
      <c r="Z346" s="1" t="str">
        <f t="shared" si="7"/>
        <v>_</v>
      </c>
      <c r="AA346" s="25"/>
    </row>
    <row r="347" spans="1:27" s="16" customFormat="1" ht="14.25" customHeight="1" outlineLevel="1" x14ac:dyDescent="0.2">
      <c r="A347" s="31"/>
      <c r="B347" s="81"/>
      <c r="C347" s="82"/>
      <c r="D347" s="89"/>
      <c r="E347" s="91"/>
      <c r="F347" s="92"/>
      <c r="G347" s="93"/>
      <c r="H347" s="46"/>
      <c r="I347" s="42"/>
      <c r="J347" s="214"/>
      <c r="K347" s="37"/>
      <c r="L347" s="38"/>
      <c r="M347" s="38"/>
      <c r="N347" s="37"/>
      <c r="O347" s="39"/>
      <c r="P347" s="53"/>
      <c r="Q347" s="55"/>
      <c r="R347" s="137" t="s">
        <v>600</v>
      </c>
      <c r="S347" s="136" t="s">
        <v>600</v>
      </c>
      <c r="T347" s="136" t="s">
        <v>17</v>
      </c>
      <c r="U347" s="136" t="s">
        <v>17</v>
      </c>
      <c r="V347" s="136"/>
      <c r="W347" s="136"/>
      <c r="X347" s="263"/>
      <c r="Y347" s="1" t="str">
        <f t="shared" si="6"/>
        <v>_</v>
      </c>
      <c r="Z347" s="1" t="str">
        <f t="shared" si="7"/>
        <v>_</v>
      </c>
      <c r="AA347" s="25"/>
    </row>
    <row r="348" spans="1:27" s="16" customFormat="1" ht="14.25" customHeight="1" outlineLevel="1" x14ac:dyDescent="0.2">
      <c r="A348" s="31"/>
      <c r="B348" s="81"/>
      <c r="C348" s="82"/>
      <c r="D348" s="89"/>
      <c r="E348" s="91"/>
      <c r="F348" s="92"/>
      <c r="G348" s="93"/>
      <c r="H348" s="46"/>
      <c r="I348" s="42"/>
      <c r="J348" s="214"/>
      <c r="K348" s="37"/>
      <c r="L348" s="38"/>
      <c r="M348" s="38"/>
      <c r="N348" s="37"/>
      <c r="O348" s="39"/>
      <c r="P348" s="53"/>
      <c r="Q348" s="55"/>
      <c r="R348" s="137" t="s">
        <v>600</v>
      </c>
      <c r="S348" s="136" t="s">
        <v>600</v>
      </c>
      <c r="T348" s="136" t="s">
        <v>17</v>
      </c>
      <c r="U348" s="136" t="s">
        <v>17</v>
      </c>
      <c r="V348" s="136"/>
      <c r="W348" s="136"/>
      <c r="X348" s="263"/>
      <c r="Y348" s="1" t="str">
        <f t="shared" si="6"/>
        <v>_</v>
      </c>
      <c r="Z348" s="1" t="str">
        <f t="shared" si="7"/>
        <v>_</v>
      </c>
      <c r="AA348" s="25"/>
    </row>
    <row r="349" spans="1:27" s="16" customFormat="1" ht="14.25" customHeight="1" outlineLevel="1" x14ac:dyDescent="0.2">
      <c r="A349" s="31"/>
      <c r="B349" s="81"/>
      <c r="C349" s="82"/>
      <c r="D349" s="89"/>
      <c r="E349" s="91"/>
      <c r="F349" s="92"/>
      <c r="G349" s="93"/>
      <c r="H349" s="46"/>
      <c r="I349" s="42"/>
      <c r="J349" s="214"/>
      <c r="K349" s="37"/>
      <c r="L349" s="38"/>
      <c r="M349" s="38"/>
      <c r="N349" s="37"/>
      <c r="O349" s="39"/>
      <c r="P349" s="53"/>
      <c r="Q349" s="55"/>
      <c r="R349" s="137" t="s">
        <v>600</v>
      </c>
      <c r="S349" s="136" t="s">
        <v>600</v>
      </c>
      <c r="T349" s="136" t="s">
        <v>17</v>
      </c>
      <c r="U349" s="136" t="s">
        <v>17</v>
      </c>
      <c r="V349" s="136"/>
      <c r="W349" s="136"/>
      <c r="X349" s="263"/>
      <c r="Y349" s="1" t="str">
        <f t="shared" si="6"/>
        <v>_</v>
      </c>
      <c r="Z349" s="1" t="str">
        <f t="shared" si="7"/>
        <v>_</v>
      </c>
      <c r="AA349" s="25"/>
    </row>
    <row r="350" spans="1:27" s="16" customFormat="1" ht="14.25" customHeight="1" outlineLevel="1" x14ac:dyDescent="0.2">
      <c r="A350" s="31"/>
      <c r="B350" s="81"/>
      <c r="C350" s="82"/>
      <c r="D350" s="89"/>
      <c r="E350" s="91"/>
      <c r="F350" s="92"/>
      <c r="G350" s="93"/>
      <c r="H350" s="46"/>
      <c r="I350" s="42"/>
      <c r="J350" s="214"/>
      <c r="K350" s="37"/>
      <c r="L350" s="38"/>
      <c r="M350" s="38"/>
      <c r="N350" s="37"/>
      <c r="O350" s="39"/>
      <c r="P350" s="53"/>
      <c r="Q350" s="55"/>
      <c r="R350" s="137" t="s">
        <v>600</v>
      </c>
      <c r="S350" s="136" t="s">
        <v>600</v>
      </c>
      <c r="T350" s="136" t="s">
        <v>17</v>
      </c>
      <c r="U350" s="136" t="s">
        <v>17</v>
      </c>
      <c r="V350" s="136"/>
      <c r="W350" s="136"/>
      <c r="X350" s="263"/>
      <c r="Y350" s="1" t="str">
        <f t="shared" si="6"/>
        <v>_</v>
      </c>
      <c r="Z350" s="1" t="str">
        <f t="shared" si="7"/>
        <v>_</v>
      </c>
      <c r="AA350" s="25"/>
    </row>
    <row r="351" spans="1:27" s="16" customFormat="1" ht="14.25" customHeight="1" outlineLevel="1" x14ac:dyDescent="0.2">
      <c r="A351" s="31"/>
      <c r="B351" s="81"/>
      <c r="C351" s="82"/>
      <c r="D351" s="89"/>
      <c r="E351" s="91"/>
      <c r="F351" s="92"/>
      <c r="G351" s="93"/>
      <c r="H351" s="46"/>
      <c r="I351" s="42"/>
      <c r="J351" s="214"/>
      <c r="K351" s="37"/>
      <c r="L351" s="38"/>
      <c r="M351" s="38"/>
      <c r="N351" s="37"/>
      <c r="O351" s="39"/>
      <c r="P351" s="53"/>
      <c r="Q351" s="55"/>
      <c r="R351" s="137" t="s">
        <v>600</v>
      </c>
      <c r="S351" s="136" t="s">
        <v>600</v>
      </c>
      <c r="T351" s="136" t="s">
        <v>17</v>
      </c>
      <c r="U351" s="136" t="s">
        <v>17</v>
      </c>
      <c r="V351" s="136"/>
      <c r="W351" s="136"/>
      <c r="X351" s="263"/>
      <c r="Y351" s="1" t="str">
        <f t="shared" si="6"/>
        <v>_</v>
      </c>
      <c r="Z351" s="1" t="str">
        <f t="shared" si="7"/>
        <v>_</v>
      </c>
      <c r="AA351" s="25"/>
    </row>
    <row r="352" spans="1:27" s="16" customFormat="1" ht="14.25" customHeight="1" outlineLevel="1" x14ac:dyDescent="0.2">
      <c r="A352" s="31"/>
      <c r="B352" s="81"/>
      <c r="C352" s="82"/>
      <c r="D352" s="89"/>
      <c r="E352" s="91"/>
      <c r="F352" s="92"/>
      <c r="G352" s="93"/>
      <c r="H352" s="46"/>
      <c r="I352" s="42"/>
      <c r="J352" s="214"/>
      <c r="K352" s="37"/>
      <c r="L352" s="38"/>
      <c r="M352" s="38"/>
      <c r="N352" s="37"/>
      <c r="O352" s="39"/>
      <c r="P352" s="53"/>
      <c r="Q352" s="55"/>
      <c r="R352" s="137" t="s">
        <v>600</v>
      </c>
      <c r="S352" s="136" t="s">
        <v>600</v>
      </c>
      <c r="T352" s="136" t="s">
        <v>17</v>
      </c>
      <c r="U352" s="136" t="s">
        <v>17</v>
      </c>
      <c r="V352" s="136"/>
      <c r="W352" s="136"/>
      <c r="X352" s="263"/>
      <c r="Y352" s="1" t="str">
        <f t="shared" si="6"/>
        <v>_</v>
      </c>
      <c r="Z352" s="1" t="str">
        <f t="shared" si="7"/>
        <v>_</v>
      </c>
      <c r="AA352" s="25"/>
    </row>
    <row r="353" spans="1:27" s="16" customFormat="1" ht="14.25" customHeight="1" outlineLevel="1" x14ac:dyDescent="0.2">
      <c r="A353" s="31"/>
      <c r="B353" s="81"/>
      <c r="C353" s="82"/>
      <c r="D353" s="89"/>
      <c r="E353" s="91"/>
      <c r="F353" s="92"/>
      <c r="G353" s="93"/>
      <c r="H353" s="46"/>
      <c r="I353" s="42"/>
      <c r="J353" s="214"/>
      <c r="K353" s="37"/>
      <c r="L353" s="38"/>
      <c r="M353" s="38"/>
      <c r="N353" s="37"/>
      <c r="O353" s="39"/>
      <c r="P353" s="53"/>
      <c r="Q353" s="55"/>
      <c r="R353" s="137" t="s">
        <v>600</v>
      </c>
      <c r="S353" s="136" t="s">
        <v>600</v>
      </c>
      <c r="T353" s="136" t="s">
        <v>17</v>
      </c>
      <c r="U353" s="136" t="s">
        <v>17</v>
      </c>
      <c r="V353" s="136"/>
      <c r="W353" s="136"/>
      <c r="X353" s="263"/>
      <c r="Y353" s="1" t="str">
        <f t="shared" si="6"/>
        <v>_</v>
      </c>
      <c r="Z353" s="1" t="str">
        <f t="shared" si="7"/>
        <v>_</v>
      </c>
      <c r="AA353" s="25"/>
    </row>
    <row r="354" spans="1:27" s="16" customFormat="1" ht="14.25" customHeight="1" outlineLevel="1" x14ac:dyDescent="0.2">
      <c r="A354" s="31"/>
      <c r="B354" s="81"/>
      <c r="C354" s="82"/>
      <c r="D354" s="89"/>
      <c r="E354" s="91"/>
      <c r="F354" s="92"/>
      <c r="G354" s="93"/>
      <c r="H354" s="46"/>
      <c r="I354" s="42"/>
      <c r="J354" s="214"/>
      <c r="K354" s="37"/>
      <c r="L354" s="38"/>
      <c r="M354" s="38"/>
      <c r="N354" s="37"/>
      <c r="O354" s="39"/>
      <c r="P354" s="53"/>
      <c r="Q354" s="55"/>
      <c r="R354" s="137" t="s">
        <v>600</v>
      </c>
      <c r="S354" s="136" t="s">
        <v>600</v>
      </c>
      <c r="T354" s="136" t="s">
        <v>17</v>
      </c>
      <c r="U354" s="136" t="s">
        <v>17</v>
      </c>
      <c r="V354" s="136"/>
      <c r="W354" s="136"/>
      <c r="X354" s="263"/>
      <c r="Y354" s="1" t="str">
        <f t="shared" si="6"/>
        <v>_</v>
      </c>
      <c r="Z354" s="1" t="str">
        <f t="shared" si="7"/>
        <v>_</v>
      </c>
      <c r="AA354" s="25"/>
    </row>
    <row r="355" spans="1:27" s="16" customFormat="1" ht="14.25" customHeight="1" outlineLevel="1" x14ac:dyDescent="0.2">
      <c r="A355" s="31"/>
      <c r="B355" s="81"/>
      <c r="C355" s="82"/>
      <c r="D355" s="89"/>
      <c r="E355" s="91"/>
      <c r="F355" s="92"/>
      <c r="G355" s="93"/>
      <c r="H355" s="46"/>
      <c r="I355" s="42"/>
      <c r="J355" s="214"/>
      <c r="K355" s="37"/>
      <c r="L355" s="38"/>
      <c r="M355" s="38"/>
      <c r="N355" s="37"/>
      <c r="O355" s="39"/>
      <c r="P355" s="53"/>
      <c r="Q355" s="55"/>
      <c r="R355" s="137" t="s">
        <v>600</v>
      </c>
      <c r="S355" s="136" t="s">
        <v>600</v>
      </c>
      <c r="T355" s="136" t="s">
        <v>17</v>
      </c>
      <c r="U355" s="136" t="s">
        <v>17</v>
      </c>
      <c r="V355" s="136"/>
      <c r="W355" s="136"/>
      <c r="X355" s="263"/>
      <c r="Y355" s="1" t="str">
        <f t="shared" si="6"/>
        <v>_</v>
      </c>
      <c r="Z355" s="1" t="str">
        <f t="shared" si="7"/>
        <v>_</v>
      </c>
      <c r="AA355" s="25"/>
    </row>
    <row r="356" spans="1:27" s="16" customFormat="1" ht="14.25" customHeight="1" outlineLevel="1" x14ac:dyDescent="0.2">
      <c r="A356" s="31"/>
      <c r="B356" s="81"/>
      <c r="C356" s="82"/>
      <c r="D356" s="89"/>
      <c r="E356" s="91"/>
      <c r="F356" s="92"/>
      <c r="G356" s="93"/>
      <c r="H356" s="46"/>
      <c r="I356" s="42"/>
      <c r="J356" s="214"/>
      <c r="K356" s="37"/>
      <c r="L356" s="38"/>
      <c r="M356" s="38"/>
      <c r="N356" s="37"/>
      <c r="O356" s="39"/>
      <c r="P356" s="53"/>
      <c r="Q356" s="55"/>
      <c r="R356" s="137" t="s">
        <v>600</v>
      </c>
      <c r="S356" s="136" t="s">
        <v>600</v>
      </c>
      <c r="T356" s="136" t="s">
        <v>17</v>
      </c>
      <c r="U356" s="136" t="s">
        <v>17</v>
      </c>
      <c r="V356" s="136"/>
      <c r="W356" s="136"/>
      <c r="X356" s="263"/>
      <c r="Y356" s="1" t="str">
        <f t="shared" si="6"/>
        <v>_</v>
      </c>
      <c r="Z356" s="1" t="str">
        <f t="shared" si="7"/>
        <v>_</v>
      </c>
      <c r="AA356" s="25"/>
    </row>
    <row r="357" spans="1:27" s="16" customFormat="1" ht="14.25" customHeight="1" outlineLevel="1" x14ac:dyDescent="0.2">
      <c r="A357" s="31"/>
      <c r="B357" s="81"/>
      <c r="C357" s="82"/>
      <c r="D357" s="89"/>
      <c r="E357" s="91"/>
      <c r="F357" s="92"/>
      <c r="G357" s="93"/>
      <c r="H357" s="46"/>
      <c r="I357" s="42"/>
      <c r="J357" s="214"/>
      <c r="K357" s="37"/>
      <c r="L357" s="38"/>
      <c r="M357" s="38"/>
      <c r="N357" s="37"/>
      <c r="O357" s="39"/>
      <c r="P357" s="53"/>
      <c r="Q357" s="55"/>
      <c r="R357" s="137" t="s">
        <v>600</v>
      </c>
      <c r="S357" s="136" t="s">
        <v>600</v>
      </c>
      <c r="T357" s="136" t="s">
        <v>17</v>
      </c>
      <c r="U357" s="136" t="s">
        <v>17</v>
      </c>
      <c r="V357" s="136"/>
      <c r="W357" s="136"/>
      <c r="X357" s="263"/>
      <c r="Y357" s="1" t="str">
        <f t="shared" si="6"/>
        <v>_</v>
      </c>
      <c r="Z357" s="1" t="str">
        <f t="shared" si="7"/>
        <v>_</v>
      </c>
      <c r="AA357" s="25"/>
    </row>
    <row r="358" spans="1:27" s="16" customFormat="1" ht="14.25" customHeight="1" outlineLevel="1" x14ac:dyDescent="0.2">
      <c r="A358" s="31"/>
      <c r="B358" s="81"/>
      <c r="C358" s="82"/>
      <c r="D358" s="89"/>
      <c r="E358" s="91"/>
      <c r="F358" s="92"/>
      <c r="G358" s="93"/>
      <c r="H358" s="46"/>
      <c r="I358" s="42"/>
      <c r="J358" s="214"/>
      <c r="K358" s="37"/>
      <c r="L358" s="38"/>
      <c r="M358" s="38"/>
      <c r="N358" s="37"/>
      <c r="O358" s="39"/>
      <c r="P358" s="53"/>
      <c r="Q358" s="55"/>
      <c r="R358" s="137" t="s">
        <v>600</v>
      </c>
      <c r="S358" s="136" t="s">
        <v>600</v>
      </c>
      <c r="T358" s="136" t="s">
        <v>17</v>
      </c>
      <c r="U358" s="136" t="s">
        <v>17</v>
      </c>
      <c r="V358" s="136"/>
      <c r="W358" s="136"/>
      <c r="X358" s="263"/>
      <c r="Y358" s="1" t="str">
        <f t="shared" si="6"/>
        <v>_</v>
      </c>
      <c r="Z358" s="1" t="str">
        <f t="shared" si="7"/>
        <v>_</v>
      </c>
      <c r="AA358" s="25"/>
    </row>
    <row r="359" spans="1:27" s="16" customFormat="1" ht="14.25" customHeight="1" outlineLevel="1" x14ac:dyDescent="0.2">
      <c r="A359" s="31"/>
      <c r="B359" s="81"/>
      <c r="C359" s="82"/>
      <c r="D359" s="89"/>
      <c r="E359" s="91"/>
      <c r="F359" s="92"/>
      <c r="G359" s="93"/>
      <c r="H359" s="46"/>
      <c r="I359" s="42"/>
      <c r="J359" s="214"/>
      <c r="K359" s="37"/>
      <c r="L359" s="38"/>
      <c r="M359" s="38"/>
      <c r="N359" s="37"/>
      <c r="O359" s="39"/>
      <c r="P359" s="53"/>
      <c r="Q359" s="55"/>
      <c r="R359" s="137" t="s">
        <v>600</v>
      </c>
      <c r="S359" s="136" t="s">
        <v>600</v>
      </c>
      <c r="T359" s="136" t="s">
        <v>17</v>
      </c>
      <c r="U359" s="136" t="s">
        <v>17</v>
      </c>
      <c r="V359" s="136"/>
      <c r="W359" s="136"/>
      <c r="X359" s="263"/>
      <c r="Y359" s="1" t="str">
        <f t="shared" si="6"/>
        <v>_</v>
      </c>
      <c r="Z359" s="1" t="str">
        <f t="shared" si="7"/>
        <v>_</v>
      </c>
      <c r="AA359" s="25"/>
    </row>
    <row r="360" spans="1:27" s="16" customFormat="1" ht="14.25" customHeight="1" outlineLevel="1" x14ac:dyDescent="0.2">
      <c r="A360" s="31"/>
      <c r="B360" s="81"/>
      <c r="C360" s="82"/>
      <c r="D360" s="89"/>
      <c r="E360" s="91"/>
      <c r="F360" s="92"/>
      <c r="G360" s="93"/>
      <c r="H360" s="46"/>
      <c r="I360" s="42"/>
      <c r="J360" s="214"/>
      <c r="K360" s="37"/>
      <c r="L360" s="38"/>
      <c r="M360" s="38"/>
      <c r="N360" s="37"/>
      <c r="O360" s="39"/>
      <c r="P360" s="53"/>
      <c r="Q360" s="55"/>
      <c r="R360" s="137" t="s">
        <v>600</v>
      </c>
      <c r="S360" s="136" t="s">
        <v>600</v>
      </c>
      <c r="T360" s="136" t="s">
        <v>17</v>
      </c>
      <c r="U360" s="136" t="s">
        <v>17</v>
      </c>
      <c r="V360" s="136"/>
      <c r="W360" s="136"/>
      <c r="X360" s="263"/>
      <c r="Y360" s="1" t="str">
        <f t="shared" si="6"/>
        <v>_</v>
      </c>
      <c r="Z360" s="1" t="str">
        <f t="shared" si="7"/>
        <v>_</v>
      </c>
      <c r="AA360" s="25"/>
    </row>
    <row r="361" spans="1:27" s="16" customFormat="1" outlineLevel="1" x14ac:dyDescent="0.2">
      <c r="A361" s="31"/>
      <c r="B361" s="81"/>
      <c r="C361" s="82"/>
      <c r="D361" s="89"/>
      <c r="E361" s="91"/>
      <c r="F361" s="92"/>
      <c r="G361" s="93"/>
      <c r="H361" s="46"/>
      <c r="I361" s="42"/>
      <c r="J361" s="214"/>
      <c r="K361" s="37"/>
      <c r="L361" s="38"/>
      <c r="M361" s="38"/>
      <c r="N361" s="37"/>
      <c r="O361" s="39"/>
      <c r="P361" s="53"/>
      <c r="Q361" s="55"/>
      <c r="R361" s="137" t="s">
        <v>600</v>
      </c>
      <c r="S361" s="136" t="s">
        <v>600</v>
      </c>
      <c r="T361" s="136" t="s">
        <v>17</v>
      </c>
      <c r="U361" s="136" t="s">
        <v>17</v>
      </c>
      <c r="V361" s="136"/>
      <c r="W361" s="136"/>
      <c r="X361" s="263"/>
      <c r="Y361" s="1" t="str">
        <f t="shared" si="6"/>
        <v>_</v>
      </c>
      <c r="Z361" s="1" t="str">
        <f t="shared" si="7"/>
        <v>_</v>
      </c>
      <c r="AA361" s="25"/>
    </row>
    <row r="362" spans="1:27" s="16" customFormat="1" outlineLevel="1" x14ac:dyDescent="0.2">
      <c r="A362" s="31"/>
      <c r="B362" s="81"/>
      <c r="C362" s="82"/>
      <c r="D362" s="89"/>
      <c r="E362" s="91"/>
      <c r="F362" s="92"/>
      <c r="G362" s="93"/>
      <c r="H362" s="46"/>
      <c r="I362" s="42"/>
      <c r="J362" s="214"/>
      <c r="K362" s="37"/>
      <c r="L362" s="38"/>
      <c r="M362" s="38"/>
      <c r="N362" s="37"/>
      <c r="O362" s="39"/>
      <c r="P362" s="53"/>
      <c r="Q362" s="55"/>
      <c r="R362" s="137" t="s">
        <v>600</v>
      </c>
      <c r="S362" s="136" t="s">
        <v>600</v>
      </c>
      <c r="T362" s="136" t="s">
        <v>17</v>
      </c>
      <c r="U362" s="136" t="s">
        <v>17</v>
      </c>
      <c r="V362" s="136"/>
      <c r="W362" s="136"/>
      <c r="X362" s="263"/>
      <c r="Y362" s="1" t="str">
        <f t="shared" si="6"/>
        <v>_</v>
      </c>
      <c r="Z362" s="1" t="str">
        <f t="shared" si="7"/>
        <v>_</v>
      </c>
      <c r="AA362" s="25"/>
    </row>
    <row r="363" spans="1:27" s="16" customFormat="1" outlineLevel="1" x14ac:dyDescent="0.2">
      <c r="A363" s="31"/>
      <c r="B363" s="81"/>
      <c r="C363" s="82"/>
      <c r="D363" s="89"/>
      <c r="E363" s="91"/>
      <c r="F363" s="92"/>
      <c r="G363" s="93"/>
      <c r="H363" s="46"/>
      <c r="I363" s="42"/>
      <c r="J363" s="214"/>
      <c r="K363" s="37"/>
      <c r="L363" s="38"/>
      <c r="M363" s="38"/>
      <c r="N363" s="37"/>
      <c r="O363" s="39"/>
      <c r="P363" s="53"/>
      <c r="Q363" s="55"/>
      <c r="R363" s="137" t="s">
        <v>600</v>
      </c>
      <c r="S363" s="136" t="s">
        <v>600</v>
      </c>
      <c r="T363" s="136" t="s">
        <v>17</v>
      </c>
      <c r="U363" s="136" t="s">
        <v>17</v>
      </c>
      <c r="V363" s="136"/>
      <c r="W363" s="136"/>
      <c r="X363" s="263"/>
      <c r="Y363" s="1" t="str">
        <f t="shared" si="6"/>
        <v>_</v>
      </c>
      <c r="Z363" s="1" t="str">
        <f t="shared" si="7"/>
        <v>_</v>
      </c>
      <c r="AA363" s="25"/>
    </row>
    <row r="364" spans="1:27" s="16" customFormat="1" outlineLevel="1" x14ac:dyDescent="0.2">
      <c r="A364" s="31"/>
      <c r="B364" s="81"/>
      <c r="C364" s="82"/>
      <c r="D364" s="89"/>
      <c r="E364" s="91"/>
      <c r="F364" s="92"/>
      <c r="G364" s="93"/>
      <c r="H364" s="46"/>
      <c r="I364" s="42"/>
      <c r="J364" s="214"/>
      <c r="K364" s="37"/>
      <c r="L364" s="38"/>
      <c r="M364" s="38"/>
      <c r="N364" s="37"/>
      <c r="O364" s="39"/>
      <c r="P364" s="53"/>
      <c r="Q364" s="55"/>
      <c r="R364" s="137" t="s">
        <v>600</v>
      </c>
      <c r="S364" s="136" t="s">
        <v>600</v>
      </c>
      <c r="T364" s="136" t="s">
        <v>17</v>
      </c>
      <c r="U364" s="136" t="s">
        <v>17</v>
      </c>
      <c r="V364" s="136"/>
      <c r="W364" s="136"/>
      <c r="X364" s="263"/>
      <c r="Y364" s="1" t="str">
        <f t="shared" si="6"/>
        <v>_</v>
      </c>
      <c r="Z364" s="1" t="str">
        <f t="shared" si="7"/>
        <v>_</v>
      </c>
      <c r="AA364" s="25"/>
    </row>
    <row r="365" spans="1:27" s="16" customFormat="1" outlineLevel="1" x14ac:dyDescent="0.2">
      <c r="A365" s="31"/>
      <c r="B365" s="81"/>
      <c r="C365" s="82"/>
      <c r="D365" s="89"/>
      <c r="E365" s="91"/>
      <c r="F365" s="92"/>
      <c r="G365" s="93"/>
      <c r="H365" s="46"/>
      <c r="I365" s="42"/>
      <c r="J365" s="214"/>
      <c r="K365" s="37"/>
      <c r="L365" s="38"/>
      <c r="M365" s="38"/>
      <c r="N365" s="37"/>
      <c r="O365" s="39"/>
      <c r="P365" s="53"/>
      <c r="Q365" s="55"/>
      <c r="R365" s="137" t="s">
        <v>600</v>
      </c>
      <c r="S365" s="136" t="s">
        <v>600</v>
      </c>
      <c r="T365" s="136" t="s">
        <v>17</v>
      </c>
      <c r="U365" s="136" t="s">
        <v>17</v>
      </c>
      <c r="V365" s="136"/>
      <c r="W365" s="136"/>
      <c r="X365" s="263"/>
      <c r="Y365" s="1" t="str">
        <f t="shared" si="6"/>
        <v>_</v>
      </c>
      <c r="Z365" s="1" t="str">
        <f t="shared" si="7"/>
        <v>_</v>
      </c>
      <c r="AA365" s="25"/>
    </row>
    <row r="366" spans="1:27" s="16" customFormat="1" outlineLevel="1" x14ac:dyDescent="0.2">
      <c r="A366" s="31"/>
      <c r="B366" s="81"/>
      <c r="C366" s="82"/>
      <c r="D366" s="89"/>
      <c r="E366" s="91"/>
      <c r="F366" s="92"/>
      <c r="G366" s="93"/>
      <c r="H366" s="46"/>
      <c r="I366" s="42"/>
      <c r="J366" s="214"/>
      <c r="K366" s="37"/>
      <c r="L366" s="38"/>
      <c r="M366" s="38"/>
      <c r="N366" s="37"/>
      <c r="O366" s="39"/>
      <c r="P366" s="53"/>
      <c r="Q366" s="55"/>
      <c r="R366" s="137" t="s">
        <v>600</v>
      </c>
      <c r="S366" s="136" t="s">
        <v>600</v>
      </c>
      <c r="T366" s="136" t="s">
        <v>17</v>
      </c>
      <c r="U366" s="136" t="s">
        <v>17</v>
      </c>
      <c r="V366" s="136"/>
      <c r="W366" s="136"/>
      <c r="X366" s="263"/>
      <c r="Y366" s="1" t="str">
        <f t="shared" si="6"/>
        <v>_</v>
      </c>
      <c r="Z366" s="1" t="str">
        <f t="shared" si="7"/>
        <v>_</v>
      </c>
      <c r="AA366" s="25"/>
    </row>
    <row r="367" spans="1:27" s="16" customFormat="1" outlineLevel="1" x14ac:dyDescent="0.2">
      <c r="A367" s="31"/>
      <c r="B367" s="81"/>
      <c r="C367" s="82"/>
      <c r="D367" s="89"/>
      <c r="E367" s="91"/>
      <c r="F367" s="92"/>
      <c r="G367" s="93"/>
      <c r="H367" s="46"/>
      <c r="I367" s="42"/>
      <c r="J367" s="214"/>
      <c r="K367" s="37"/>
      <c r="L367" s="38"/>
      <c r="M367" s="38"/>
      <c r="N367" s="37"/>
      <c r="O367" s="39"/>
      <c r="P367" s="53"/>
      <c r="Q367" s="55"/>
      <c r="R367" s="137" t="s">
        <v>600</v>
      </c>
      <c r="S367" s="136" t="s">
        <v>600</v>
      </c>
      <c r="T367" s="136" t="s">
        <v>17</v>
      </c>
      <c r="U367" s="136" t="s">
        <v>17</v>
      </c>
      <c r="V367" s="136"/>
      <c r="W367" s="136"/>
      <c r="X367" s="263"/>
      <c r="Y367" s="1" t="str">
        <f t="shared" si="6"/>
        <v>_</v>
      </c>
      <c r="Z367" s="1" t="str">
        <f t="shared" si="7"/>
        <v>_</v>
      </c>
      <c r="AA367" s="25"/>
    </row>
    <row r="368" spans="1:27" s="16" customFormat="1" outlineLevel="1" x14ac:dyDescent="0.2">
      <c r="A368" s="31"/>
      <c r="B368" s="81"/>
      <c r="C368" s="82"/>
      <c r="D368" s="89"/>
      <c r="E368" s="91"/>
      <c r="F368" s="92"/>
      <c r="G368" s="93"/>
      <c r="H368" s="46"/>
      <c r="I368" s="42"/>
      <c r="J368" s="214"/>
      <c r="K368" s="37"/>
      <c r="L368" s="38"/>
      <c r="M368" s="38"/>
      <c r="N368" s="37"/>
      <c r="O368" s="39"/>
      <c r="P368" s="53"/>
      <c r="Q368" s="55"/>
      <c r="R368" s="137" t="s">
        <v>600</v>
      </c>
      <c r="S368" s="136" t="s">
        <v>600</v>
      </c>
      <c r="T368" s="136" t="s">
        <v>17</v>
      </c>
      <c r="U368" s="136" t="s">
        <v>17</v>
      </c>
      <c r="V368" s="136"/>
      <c r="W368" s="136"/>
      <c r="X368" s="263"/>
      <c r="Y368" s="1" t="str">
        <f t="shared" si="6"/>
        <v>_</v>
      </c>
      <c r="Z368" s="1" t="str">
        <f t="shared" si="7"/>
        <v>_</v>
      </c>
      <c r="AA368" s="25"/>
    </row>
    <row r="369" spans="1:27" s="16" customFormat="1" outlineLevel="1" x14ac:dyDescent="0.2">
      <c r="A369" s="31"/>
      <c r="B369" s="81"/>
      <c r="C369" s="82"/>
      <c r="D369" s="89"/>
      <c r="E369" s="91"/>
      <c r="F369" s="92"/>
      <c r="G369" s="93"/>
      <c r="H369" s="46"/>
      <c r="I369" s="42"/>
      <c r="J369" s="214"/>
      <c r="K369" s="37"/>
      <c r="L369" s="38"/>
      <c r="M369" s="38"/>
      <c r="N369" s="37"/>
      <c r="O369" s="39"/>
      <c r="P369" s="53"/>
      <c r="Q369" s="55"/>
      <c r="R369" s="137" t="s">
        <v>600</v>
      </c>
      <c r="S369" s="136" t="s">
        <v>600</v>
      </c>
      <c r="T369" s="136" t="s">
        <v>17</v>
      </c>
      <c r="U369" s="136" t="s">
        <v>17</v>
      </c>
      <c r="V369" s="136"/>
      <c r="W369" s="136"/>
      <c r="X369" s="263"/>
      <c r="Y369" s="1" t="str">
        <f t="shared" si="6"/>
        <v>_</v>
      </c>
      <c r="Z369" s="1" t="str">
        <f t="shared" si="7"/>
        <v>_</v>
      </c>
      <c r="AA369" s="25"/>
    </row>
    <row r="370" spans="1:27" s="16" customFormat="1" outlineLevel="1" x14ac:dyDescent="0.2">
      <c r="A370" s="31"/>
      <c r="B370" s="81"/>
      <c r="C370" s="82"/>
      <c r="D370" s="89"/>
      <c r="E370" s="91"/>
      <c r="F370" s="92"/>
      <c r="G370" s="93"/>
      <c r="H370" s="46"/>
      <c r="I370" s="42"/>
      <c r="J370" s="214"/>
      <c r="K370" s="37"/>
      <c r="L370" s="38"/>
      <c r="M370" s="38"/>
      <c r="N370" s="37"/>
      <c r="O370" s="39"/>
      <c r="P370" s="53"/>
      <c r="Q370" s="55"/>
      <c r="R370" s="137" t="s">
        <v>600</v>
      </c>
      <c r="S370" s="136" t="s">
        <v>600</v>
      </c>
      <c r="T370" s="136" t="s">
        <v>17</v>
      </c>
      <c r="U370" s="136" t="s">
        <v>17</v>
      </c>
      <c r="V370" s="136"/>
      <c r="W370" s="136"/>
      <c r="X370" s="263"/>
      <c r="Y370" s="1" t="str">
        <f t="shared" si="6"/>
        <v>_</v>
      </c>
      <c r="Z370" s="1" t="str">
        <f t="shared" si="7"/>
        <v>_</v>
      </c>
      <c r="AA370" s="25"/>
    </row>
    <row r="371" spans="1:27" s="16" customFormat="1" outlineLevel="1" x14ac:dyDescent="0.2">
      <c r="A371" s="31"/>
      <c r="B371" s="81"/>
      <c r="C371" s="82"/>
      <c r="D371" s="89"/>
      <c r="E371" s="91"/>
      <c r="F371" s="92"/>
      <c r="G371" s="93"/>
      <c r="H371" s="46"/>
      <c r="I371" s="42"/>
      <c r="J371" s="214"/>
      <c r="K371" s="37"/>
      <c r="L371" s="38"/>
      <c r="M371" s="38"/>
      <c r="N371" s="37"/>
      <c r="O371" s="39"/>
      <c r="P371" s="53"/>
      <c r="Q371" s="55"/>
      <c r="R371" s="137" t="s">
        <v>600</v>
      </c>
      <c r="S371" s="136" t="s">
        <v>600</v>
      </c>
      <c r="T371" s="136" t="s">
        <v>17</v>
      </c>
      <c r="U371" s="136" t="s">
        <v>17</v>
      </c>
      <c r="V371" s="136"/>
      <c r="W371" s="136"/>
      <c r="X371" s="263"/>
      <c r="Y371" s="1" t="str">
        <f t="shared" si="6"/>
        <v>_</v>
      </c>
      <c r="Z371" s="1" t="str">
        <f t="shared" si="7"/>
        <v>_</v>
      </c>
      <c r="AA371" s="25"/>
    </row>
    <row r="372" spans="1:27" s="16" customFormat="1" outlineLevel="1" x14ac:dyDescent="0.2">
      <c r="A372" s="31"/>
      <c r="B372" s="81"/>
      <c r="C372" s="82"/>
      <c r="D372" s="89"/>
      <c r="E372" s="91"/>
      <c r="F372" s="92"/>
      <c r="G372" s="93"/>
      <c r="H372" s="46"/>
      <c r="I372" s="42"/>
      <c r="J372" s="214"/>
      <c r="K372" s="37"/>
      <c r="L372" s="38"/>
      <c r="M372" s="38"/>
      <c r="N372" s="37"/>
      <c r="O372" s="39"/>
      <c r="P372" s="53"/>
      <c r="Q372" s="55"/>
      <c r="R372" s="137" t="s">
        <v>600</v>
      </c>
      <c r="S372" s="136" t="s">
        <v>600</v>
      </c>
      <c r="T372" s="136" t="s">
        <v>17</v>
      </c>
      <c r="U372" s="136" t="s">
        <v>17</v>
      </c>
      <c r="V372" s="136"/>
      <c r="W372" s="136"/>
      <c r="X372" s="263"/>
      <c r="Y372" s="1" t="str">
        <f t="shared" si="6"/>
        <v>_</v>
      </c>
      <c r="Z372" s="1" t="str">
        <f t="shared" si="7"/>
        <v>_</v>
      </c>
      <c r="AA372" s="25"/>
    </row>
    <row r="373" spans="1:27" s="16" customFormat="1" outlineLevel="1" x14ac:dyDescent="0.2">
      <c r="A373" s="31"/>
      <c r="B373" s="81"/>
      <c r="C373" s="82"/>
      <c r="D373" s="89"/>
      <c r="E373" s="91"/>
      <c r="F373" s="92"/>
      <c r="G373" s="93"/>
      <c r="H373" s="46"/>
      <c r="I373" s="42"/>
      <c r="J373" s="214"/>
      <c r="K373" s="37"/>
      <c r="L373" s="38"/>
      <c r="M373" s="38"/>
      <c r="N373" s="37"/>
      <c r="O373" s="39"/>
      <c r="P373" s="53"/>
      <c r="Q373" s="55"/>
      <c r="R373" s="137" t="s">
        <v>600</v>
      </c>
      <c r="S373" s="136" t="s">
        <v>600</v>
      </c>
      <c r="T373" s="136" t="s">
        <v>17</v>
      </c>
      <c r="U373" s="136" t="s">
        <v>17</v>
      </c>
      <c r="V373" s="136"/>
      <c r="W373" s="136"/>
      <c r="X373" s="263"/>
      <c r="Y373" s="1" t="str">
        <f t="shared" si="6"/>
        <v>_</v>
      </c>
      <c r="Z373" s="1" t="str">
        <f t="shared" si="7"/>
        <v>_</v>
      </c>
      <c r="AA373" s="25"/>
    </row>
    <row r="374" spans="1:27" s="16" customFormat="1" outlineLevel="1" x14ac:dyDescent="0.2">
      <c r="A374" s="31"/>
      <c r="B374" s="81"/>
      <c r="C374" s="82"/>
      <c r="D374" s="89"/>
      <c r="E374" s="91"/>
      <c r="F374" s="92"/>
      <c r="G374" s="93"/>
      <c r="H374" s="46"/>
      <c r="I374" s="42"/>
      <c r="J374" s="214"/>
      <c r="K374" s="37"/>
      <c r="L374" s="38"/>
      <c r="M374" s="38"/>
      <c r="N374" s="37"/>
      <c r="O374" s="39"/>
      <c r="P374" s="53"/>
      <c r="Q374" s="55"/>
      <c r="R374" s="137" t="s">
        <v>600</v>
      </c>
      <c r="S374" s="136" t="s">
        <v>600</v>
      </c>
      <c r="T374" s="136" t="s">
        <v>17</v>
      </c>
      <c r="U374" s="136" t="s">
        <v>17</v>
      </c>
      <c r="V374" s="136"/>
      <c r="W374" s="136"/>
      <c r="X374" s="263"/>
      <c r="Y374" s="1" t="str">
        <f t="shared" si="6"/>
        <v>_</v>
      </c>
      <c r="Z374" s="1" t="str">
        <f t="shared" si="7"/>
        <v>_</v>
      </c>
      <c r="AA374" s="25"/>
    </row>
    <row r="375" spans="1:27" s="16" customFormat="1" outlineLevel="1" x14ac:dyDescent="0.2">
      <c r="A375" s="31"/>
      <c r="B375" s="81"/>
      <c r="C375" s="82"/>
      <c r="D375" s="89"/>
      <c r="E375" s="91"/>
      <c r="F375" s="92"/>
      <c r="G375" s="93"/>
      <c r="H375" s="46"/>
      <c r="I375" s="42"/>
      <c r="J375" s="214"/>
      <c r="K375" s="37"/>
      <c r="L375" s="38"/>
      <c r="M375" s="38"/>
      <c r="N375" s="37"/>
      <c r="O375" s="39"/>
      <c r="P375" s="53"/>
      <c r="Q375" s="55"/>
      <c r="R375" s="137" t="s">
        <v>600</v>
      </c>
      <c r="S375" s="136" t="s">
        <v>600</v>
      </c>
      <c r="T375" s="136" t="s">
        <v>17</v>
      </c>
      <c r="U375" s="136" t="s">
        <v>17</v>
      </c>
      <c r="V375" s="136"/>
      <c r="W375" s="136"/>
      <c r="X375" s="263"/>
      <c r="Y375" s="1" t="str">
        <f t="shared" ref="Y375:Y438" si="8">IF(K375&lt;&gt;"",K375,IF(B375&lt;&gt;"",B375,"_"))</f>
        <v>_</v>
      </c>
      <c r="Z375" s="1" t="str">
        <f t="shared" ref="Z375:Z438" si="9">IF(M375&lt;&gt;"",M375,IF(D375&lt;&gt;"",D375,"_"))</f>
        <v>_</v>
      </c>
      <c r="AA375" s="25"/>
    </row>
    <row r="376" spans="1:27" s="16" customFormat="1" outlineLevel="1" x14ac:dyDescent="0.2">
      <c r="A376" s="31"/>
      <c r="B376" s="81"/>
      <c r="C376" s="82"/>
      <c r="D376" s="89"/>
      <c r="E376" s="91"/>
      <c r="F376" s="92"/>
      <c r="G376" s="93"/>
      <c r="H376" s="46"/>
      <c r="I376" s="42"/>
      <c r="J376" s="214"/>
      <c r="K376" s="37"/>
      <c r="L376" s="38"/>
      <c r="M376" s="38"/>
      <c r="N376" s="37"/>
      <c r="O376" s="39"/>
      <c r="P376" s="53"/>
      <c r="Q376" s="55"/>
      <c r="R376" s="137" t="s">
        <v>600</v>
      </c>
      <c r="S376" s="136" t="s">
        <v>600</v>
      </c>
      <c r="T376" s="136" t="s">
        <v>17</v>
      </c>
      <c r="U376" s="136" t="s">
        <v>17</v>
      </c>
      <c r="V376" s="136"/>
      <c r="W376" s="136"/>
      <c r="X376" s="263"/>
      <c r="Y376" s="1" t="str">
        <f t="shared" si="8"/>
        <v>_</v>
      </c>
      <c r="Z376" s="1" t="str">
        <f t="shared" si="9"/>
        <v>_</v>
      </c>
      <c r="AA376" s="25"/>
    </row>
    <row r="377" spans="1:27" s="16" customFormat="1" outlineLevel="1" x14ac:dyDescent="0.2">
      <c r="A377" s="31"/>
      <c r="B377" s="81"/>
      <c r="C377" s="82"/>
      <c r="D377" s="89"/>
      <c r="E377" s="91"/>
      <c r="F377" s="92"/>
      <c r="G377" s="93"/>
      <c r="H377" s="46"/>
      <c r="I377" s="42"/>
      <c r="J377" s="214"/>
      <c r="K377" s="37"/>
      <c r="L377" s="38"/>
      <c r="M377" s="38"/>
      <c r="N377" s="37"/>
      <c r="O377" s="39"/>
      <c r="P377" s="53"/>
      <c r="Q377" s="55"/>
      <c r="R377" s="137" t="s">
        <v>600</v>
      </c>
      <c r="S377" s="136" t="s">
        <v>600</v>
      </c>
      <c r="T377" s="136" t="s">
        <v>17</v>
      </c>
      <c r="U377" s="136" t="s">
        <v>17</v>
      </c>
      <c r="V377" s="136"/>
      <c r="W377" s="136"/>
      <c r="X377" s="263"/>
      <c r="Y377" s="1" t="str">
        <f t="shared" si="8"/>
        <v>_</v>
      </c>
      <c r="Z377" s="1" t="str">
        <f t="shared" si="9"/>
        <v>_</v>
      </c>
      <c r="AA377" s="25"/>
    </row>
    <row r="378" spans="1:27" s="16" customFormat="1" outlineLevel="1" x14ac:dyDescent="0.2">
      <c r="A378" s="31"/>
      <c r="B378" s="81"/>
      <c r="C378" s="82"/>
      <c r="D378" s="89"/>
      <c r="E378" s="91"/>
      <c r="F378" s="92"/>
      <c r="G378" s="93"/>
      <c r="H378" s="46"/>
      <c r="I378" s="42"/>
      <c r="J378" s="214"/>
      <c r="K378" s="37"/>
      <c r="L378" s="38"/>
      <c r="M378" s="38"/>
      <c r="N378" s="37"/>
      <c r="O378" s="39"/>
      <c r="P378" s="53"/>
      <c r="Q378" s="55"/>
      <c r="R378" s="137" t="s">
        <v>600</v>
      </c>
      <c r="S378" s="136" t="s">
        <v>600</v>
      </c>
      <c r="T378" s="136" t="s">
        <v>17</v>
      </c>
      <c r="U378" s="136" t="s">
        <v>17</v>
      </c>
      <c r="V378" s="136"/>
      <c r="W378" s="136"/>
      <c r="X378" s="263"/>
      <c r="Y378" s="1" t="str">
        <f t="shared" si="8"/>
        <v>_</v>
      </c>
      <c r="Z378" s="1" t="str">
        <f t="shared" si="9"/>
        <v>_</v>
      </c>
      <c r="AA378" s="25"/>
    </row>
    <row r="379" spans="1:27" s="16" customFormat="1" outlineLevel="1" x14ac:dyDescent="0.2">
      <c r="A379" s="31"/>
      <c r="B379" s="81"/>
      <c r="C379" s="82"/>
      <c r="D379" s="89"/>
      <c r="E379" s="91"/>
      <c r="F379" s="92"/>
      <c r="G379" s="93"/>
      <c r="H379" s="46"/>
      <c r="I379" s="42"/>
      <c r="J379" s="214"/>
      <c r="K379" s="37"/>
      <c r="L379" s="38"/>
      <c r="M379" s="38"/>
      <c r="N379" s="37"/>
      <c r="O379" s="39"/>
      <c r="P379" s="53"/>
      <c r="Q379" s="55"/>
      <c r="R379" s="137" t="s">
        <v>600</v>
      </c>
      <c r="S379" s="136" t="s">
        <v>600</v>
      </c>
      <c r="T379" s="136" t="s">
        <v>17</v>
      </c>
      <c r="U379" s="136" t="s">
        <v>17</v>
      </c>
      <c r="V379" s="136"/>
      <c r="W379" s="136"/>
      <c r="X379" s="263"/>
      <c r="Y379" s="1" t="str">
        <f t="shared" si="8"/>
        <v>_</v>
      </c>
      <c r="Z379" s="1" t="str">
        <f t="shared" si="9"/>
        <v>_</v>
      </c>
      <c r="AA379" s="25"/>
    </row>
    <row r="380" spans="1:27" s="16" customFormat="1" outlineLevel="1" x14ac:dyDescent="0.2">
      <c r="A380" s="31"/>
      <c r="B380" s="81"/>
      <c r="C380" s="82"/>
      <c r="D380" s="89"/>
      <c r="E380" s="91"/>
      <c r="F380" s="92"/>
      <c r="G380" s="93"/>
      <c r="H380" s="46"/>
      <c r="I380" s="42"/>
      <c r="J380" s="214"/>
      <c r="K380" s="37"/>
      <c r="L380" s="38"/>
      <c r="M380" s="38"/>
      <c r="N380" s="37"/>
      <c r="O380" s="39"/>
      <c r="P380" s="53"/>
      <c r="Q380" s="55"/>
      <c r="R380" s="137" t="s">
        <v>600</v>
      </c>
      <c r="S380" s="136" t="s">
        <v>600</v>
      </c>
      <c r="T380" s="136" t="s">
        <v>17</v>
      </c>
      <c r="U380" s="136" t="s">
        <v>17</v>
      </c>
      <c r="V380" s="136"/>
      <c r="W380" s="136"/>
      <c r="X380" s="263"/>
      <c r="Y380" s="1" t="str">
        <f t="shared" si="8"/>
        <v>_</v>
      </c>
      <c r="Z380" s="1" t="str">
        <f t="shared" si="9"/>
        <v>_</v>
      </c>
      <c r="AA380" s="25"/>
    </row>
    <row r="381" spans="1:27" s="16" customFormat="1" outlineLevel="1" x14ac:dyDescent="0.2">
      <c r="A381" s="31"/>
      <c r="B381" s="81"/>
      <c r="C381" s="82"/>
      <c r="D381" s="89"/>
      <c r="E381" s="91"/>
      <c r="F381" s="92"/>
      <c r="G381" s="93"/>
      <c r="H381" s="46"/>
      <c r="I381" s="42"/>
      <c r="J381" s="214"/>
      <c r="K381" s="37"/>
      <c r="L381" s="38"/>
      <c r="M381" s="38"/>
      <c r="N381" s="37"/>
      <c r="O381" s="39"/>
      <c r="P381" s="53"/>
      <c r="Q381" s="55"/>
      <c r="R381" s="137" t="s">
        <v>600</v>
      </c>
      <c r="S381" s="136" t="s">
        <v>600</v>
      </c>
      <c r="T381" s="136" t="s">
        <v>17</v>
      </c>
      <c r="U381" s="136" t="s">
        <v>17</v>
      </c>
      <c r="V381" s="136"/>
      <c r="W381" s="136"/>
      <c r="X381" s="263"/>
      <c r="Y381" s="1" t="str">
        <f t="shared" si="8"/>
        <v>_</v>
      </c>
      <c r="Z381" s="1" t="str">
        <f t="shared" si="9"/>
        <v>_</v>
      </c>
      <c r="AA381" s="25"/>
    </row>
    <row r="382" spans="1:27" s="16" customFormat="1" outlineLevel="1" x14ac:dyDescent="0.2">
      <c r="A382" s="31"/>
      <c r="B382" s="81"/>
      <c r="C382" s="82"/>
      <c r="D382" s="89"/>
      <c r="E382" s="91"/>
      <c r="F382" s="92"/>
      <c r="G382" s="93"/>
      <c r="H382" s="46"/>
      <c r="I382" s="42"/>
      <c r="J382" s="214"/>
      <c r="K382" s="37"/>
      <c r="L382" s="38"/>
      <c r="M382" s="38"/>
      <c r="N382" s="37"/>
      <c r="O382" s="39"/>
      <c r="P382" s="53"/>
      <c r="Q382" s="55"/>
      <c r="R382" s="137" t="s">
        <v>600</v>
      </c>
      <c r="S382" s="136" t="s">
        <v>600</v>
      </c>
      <c r="T382" s="136" t="s">
        <v>17</v>
      </c>
      <c r="U382" s="136" t="s">
        <v>17</v>
      </c>
      <c r="V382" s="136"/>
      <c r="W382" s="136"/>
      <c r="X382" s="263"/>
      <c r="Y382" s="1" t="str">
        <f t="shared" si="8"/>
        <v>_</v>
      </c>
      <c r="Z382" s="1" t="str">
        <f t="shared" si="9"/>
        <v>_</v>
      </c>
      <c r="AA382" s="25"/>
    </row>
    <row r="383" spans="1:27" s="16" customFormat="1" outlineLevel="1" x14ac:dyDescent="0.2">
      <c r="A383" s="31"/>
      <c r="B383" s="81"/>
      <c r="C383" s="82"/>
      <c r="D383" s="89"/>
      <c r="E383" s="91"/>
      <c r="F383" s="92"/>
      <c r="G383" s="93"/>
      <c r="H383" s="46"/>
      <c r="I383" s="42"/>
      <c r="J383" s="214"/>
      <c r="K383" s="37"/>
      <c r="L383" s="38"/>
      <c r="M383" s="38"/>
      <c r="N383" s="37"/>
      <c r="O383" s="39"/>
      <c r="P383" s="53"/>
      <c r="Q383" s="55"/>
      <c r="R383" s="137" t="s">
        <v>600</v>
      </c>
      <c r="S383" s="136" t="s">
        <v>600</v>
      </c>
      <c r="T383" s="136" t="s">
        <v>17</v>
      </c>
      <c r="U383" s="136" t="s">
        <v>17</v>
      </c>
      <c r="V383" s="136"/>
      <c r="W383" s="136"/>
      <c r="X383" s="263"/>
      <c r="Y383" s="1" t="str">
        <f t="shared" si="8"/>
        <v>_</v>
      </c>
      <c r="Z383" s="1" t="str">
        <f t="shared" si="9"/>
        <v>_</v>
      </c>
      <c r="AA383" s="25"/>
    </row>
    <row r="384" spans="1:27" s="16" customFormat="1" outlineLevel="1" x14ac:dyDescent="0.2">
      <c r="A384" s="31"/>
      <c r="B384" s="81"/>
      <c r="C384" s="82"/>
      <c r="D384" s="89"/>
      <c r="E384" s="91"/>
      <c r="F384" s="92"/>
      <c r="G384" s="93"/>
      <c r="H384" s="46"/>
      <c r="I384" s="42"/>
      <c r="J384" s="214"/>
      <c r="K384" s="37"/>
      <c r="L384" s="38"/>
      <c r="M384" s="38"/>
      <c r="N384" s="37"/>
      <c r="O384" s="39"/>
      <c r="P384" s="53"/>
      <c r="Q384" s="55"/>
      <c r="R384" s="137" t="s">
        <v>600</v>
      </c>
      <c r="S384" s="136" t="s">
        <v>600</v>
      </c>
      <c r="T384" s="136" t="s">
        <v>17</v>
      </c>
      <c r="U384" s="136" t="s">
        <v>17</v>
      </c>
      <c r="V384" s="136"/>
      <c r="W384" s="136"/>
      <c r="X384" s="263"/>
      <c r="Y384" s="1" t="str">
        <f t="shared" si="8"/>
        <v>_</v>
      </c>
      <c r="Z384" s="1" t="str">
        <f t="shared" si="9"/>
        <v>_</v>
      </c>
      <c r="AA384" s="25"/>
    </row>
    <row r="385" spans="1:27" s="16" customFormat="1" outlineLevel="1" x14ac:dyDescent="0.2">
      <c r="A385" s="31"/>
      <c r="B385" s="81"/>
      <c r="C385" s="82"/>
      <c r="D385" s="89"/>
      <c r="E385" s="91"/>
      <c r="F385" s="92"/>
      <c r="G385" s="93"/>
      <c r="H385" s="46"/>
      <c r="I385" s="42"/>
      <c r="J385" s="214"/>
      <c r="K385" s="37"/>
      <c r="L385" s="38"/>
      <c r="M385" s="38"/>
      <c r="N385" s="37"/>
      <c r="O385" s="39"/>
      <c r="P385" s="53"/>
      <c r="Q385" s="55"/>
      <c r="R385" s="137" t="s">
        <v>600</v>
      </c>
      <c r="S385" s="136" t="s">
        <v>600</v>
      </c>
      <c r="T385" s="136" t="s">
        <v>17</v>
      </c>
      <c r="U385" s="136" t="s">
        <v>17</v>
      </c>
      <c r="V385" s="136"/>
      <c r="W385" s="136"/>
      <c r="X385" s="263"/>
      <c r="Y385" s="1" t="str">
        <f t="shared" si="8"/>
        <v>_</v>
      </c>
      <c r="Z385" s="1" t="str">
        <f t="shared" si="9"/>
        <v>_</v>
      </c>
      <c r="AA385" s="25"/>
    </row>
    <row r="386" spans="1:27" s="16" customFormat="1" outlineLevel="1" x14ac:dyDescent="0.2">
      <c r="A386" s="31"/>
      <c r="B386" s="81"/>
      <c r="C386" s="82"/>
      <c r="D386" s="89"/>
      <c r="E386" s="91"/>
      <c r="F386" s="92"/>
      <c r="G386" s="93"/>
      <c r="H386" s="46"/>
      <c r="I386" s="42"/>
      <c r="J386" s="214"/>
      <c r="K386" s="37"/>
      <c r="L386" s="38"/>
      <c r="M386" s="38"/>
      <c r="N386" s="37"/>
      <c r="O386" s="39"/>
      <c r="P386" s="53"/>
      <c r="Q386" s="55"/>
      <c r="R386" s="137" t="s">
        <v>600</v>
      </c>
      <c r="S386" s="136" t="s">
        <v>600</v>
      </c>
      <c r="T386" s="136" t="s">
        <v>17</v>
      </c>
      <c r="U386" s="136" t="s">
        <v>17</v>
      </c>
      <c r="V386" s="136"/>
      <c r="W386" s="136"/>
      <c r="X386" s="263"/>
      <c r="Y386" s="1" t="str">
        <f t="shared" si="8"/>
        <v>_</v>
      </c>
      <c r="Z386" s="1" t="str">
        <f t="shared" si="9"/>
        <v>_</v>
      </c>
      <c r="AA386" s="25"/>
    </row>
    <row r="387" spans="1:27" s="16" customFormat="1" outlineLevel="1" x14ac:dyDescent="0.2">
      <c r="A387" s="31"/>
      <c r="B387" s="81"/>
      <c r="C387" s="82"/>
      <c r="D387" s="89"/>
      <c r="E387" s="91"/>
      <c r="F387" s="92"/>
      <c r="G387" s="93"/>
      <c r="H387" s="46"/>
      <c r="I387" s="42"/>
      <c r="J387" s="214"/>
      <c r="K387" s="37"/>
      <c r="L387" s="38"/>
      <c r="M387" s="38"/>
      <c r="N387" s="37"/>
      <c r="O387" s="39"/>
      <c r="P387" s="53"/>
      <c r="Q387" s="55"/>
      <c r="R387" s="137" t="s">
        <v>600</v>
      </c>
      <c r="S387" s="136" t="s">
        <v>600</v>
      </c>
      <c r="T387" s="136" t="s">
        <v>17</v>
      </c>
      <c r="U387" s="136" t="s">
        <v>17</v>
      </c>
      <c r="V387" s="136"/>
      <c r="W387" s="136"/>
      <c r="X387" s="263"/>
      <c r="Y387" s="1" t="str">
        <f t="shared" si="8"/>
        <v>_</v>
      </c>
      <c r="Z387" s="1" t="str">
        <f t="shared" si="9"/>
        <v>_</v>
      </c>
      <c r="AA387" s="25"/>
    </row>
    <row r="388" spans="1:27" s="16" customFormat="1" outlineLevel="1" x14ac:dyDescent="0.2">
      <c r="A388" s="31"/>
      <c r="B388" s="81"/>
      <c r="C388" s="82"/>
      <c r="D388" s="89"/>
      <c r="E388" s="91"/>
      <c r="F388" s="92"/>
      <c r="G388" s="93"/>
      <c r="H388" s="46"/>
      <c r="I388" s="42"/>
      <c r="J388" s="214"/>
      <c r="K388" s="37"/>
      <c r="L388" s="38"/>
      <c r="M388" s="38"/>
      <c r="N388" s="37"/>
      <c r="O388" s="39"/>
      <c r="P388" s="53"/>
      <c r="Q388" s="55"/>
      <c r="R388" s="137" t="s">
        <v>600</v>
      </c>
      <c r="S388" s="136" t="s">
        <v>600</v>
      </c>
      <c r="T388" s="136" t="s">
        <v>17</v>
      </c>
      <c r="U388" s="136" t="s">
        <v>17</v>
      </c>
      <c r="V388" s="136"/>
      <c r="W388" s="136"/>
      <c r="X388" s="263"/>
      <c r="Y388" s="1" t="str">
        <f t="shared" si="8"/>
        <v>_</v>
      </c>
      <c r="Z388" s="1" t="str">
        <f t="shared" si="9"/>
        <v>_</v>
      </c>
      <c r="AA388" s="25"/>
    </row>
    <row r="389" spans="1:27" s="16" customFormat="1" outlineLevel="1" x14ac:dyDescent="0.2">
      <c r="A389" s="31"/>
      <c r="B389" s="81"/>
      <c r="C389" s="82"/>
      <c r="D389" s="89"/>
      <c r="E389" s="91"/>
      <c r="F389" s="92"/>
      <c r="G389" s="93"/>
      <c r="H389" s="46"/>
      <c r="I389" s="42"/>
      <c r="J389" s="214"/>
      <c r="K389" s="37"/>
      <c r="L389" s="38"/>
      <c r="M389" s="38"/>
      <c r="N389" s="37"/>
      <c r="O389" s="39"/>
      <c r="P389" s="53"/>
      <c r="Q389" s="55"/>
      <c r="R389" s="137" t="s">
        <v>600</v>
      </c>
      <c r="S389" s="136" t="s">
        <v>600</v>
      </c>
      <c r="T389" s="136" t="s">
        <v>17</v>
      </c>
      <c r="U389" s="136" t="s">
        <v>17</v>
      </c>
      <c r="V389" s="136"/>
      <c r="W389" s="136"/>
      <c r="X389" s="263"/>
      <c r="Y389" s="1" t="str">
        <f t="shared" si="8"/>
        <v>_</v>
      </c>
      <c r="Z389" s="1" t="str">
        <f t="shared" si="9"/>
        <v>_</v>
      </c>
      <c r="AA389" s="25"/>
    </row>
    <row r="390" spans="1:27" s="16" customFormat="1" outlineLevel="1" x14ac:dyDescent="0.2">
      <c r="A390" s="31"/>
      <c r="B390" s="81"/>
      <c r="C390" s="82"/>
      <c r="D390" s="89"/>
      <c r="E390" s="91"/>
      <c r="F390" s="92"/>
      <c r="G390" s="93"/>
      <c r="H390" s="46"/>
      <c r="I390" s="42"/>
      <c r="J390" s="214"/>
      <c r="K390" s="37"/>
      <c r="L390" s="38"/>
      <c r="M390" s="38"/>
      <c r="N390" s="37"/>
      <c r="O390" s="39"/>
      <c r="P390" s="53"/>
      <c r="Q390" s="55"/>
      <c r="R390" s="137" t="s">
        <v>600</v>
      </c>
      <c r="S390" s="136" t="s">
        <v>600</v>
      </c>
      <c r="T390" s="136" t="s">
        <v>17</v>
      </c>
      <c r="U390" s="136" t="s">
        <v>17</v>
      </c>
      <c r="V390" s="136"/>
      <c r="W390" s="136"/>
      <c r="X390" s="263"/>
      <c r="Y390" s="1" t="str">
        <f t="shared" si="8"/>
        <v>_</v>
      </c>
      <c r="Z390" s="1" t="str">
        <f t="shared" si="9"/>
        <v>_</v>
      </c>
      <c r="AA390" s="25"/>
    </row>
    <row r="391" spans="1:27" s="16" customFormat="1" outlineLevel="1" x14ac:dyDescent="0.2">
      <c r="A391" s="31"/>
      <c r="B391" s="81"/>
      <c r="C391" s="82"/>
      <c r="D391" s="89"/>
      <c r="E391" s="91"/>
      <c r="F391" s="92"/>
      <c r="G391" s="93"/>
      <c r="H391" s="46"/>
      <c r="I391" s="42"/>
      <c r="J391" s="214"/>
      <c r="K391" s="37"/>
      <c r="L391" s="38"/>
      <c r="M391" s="38"/>
      <c r="N391" s="37"/>
      <c r="O391" s="39"/>
      <c r="P391" s="53"/>
      <c r="Q391" s="55"/>
      <c r="R391" s="137" t="s">
        <v>600</v>
      </c>
      <c r="S391" s="136" t="s">
        <v>600</v>
      </c>
      <c r="T391" s="136" t="s">
        <v>17</v>
      </c>
      <c r="U391" s="136" t="s">
        <v>17</v>
      </c>
      <c r="V391" s="136"/>
      <c r="W391" s="136"/>
      <c r="X391" s="263"/>
      <c r="Y391" s="1" t="str">
        <f t="shared" si="8"/>
        <v>_</v>
      </c>
      <c r="Z391" s="1" t="str">
        <f t="shared" si="9"/>
        <v>_</v>
      </c>
      <c r="AA391" s="25"/>
    </row>
    <row r="392" spans="1:27" s="16" customFormat="1" outlineLevel="1" x14ac:dyDescent="0.2">
      <c r="A392" s="31"/>
      <c r="B392" s="81"/>
      <c r="C392" s="82"/>
      <c r="D392" s="89"/>
      <c r="E392" s="91"/>
      <c r="F392" s="92"/>
      <c r="G392" s="93"/>
      <c r="H392" s="46"/>
      <c r="I392" s="42"/>
      <c r="J392" s="214"/>
      <c r="K392" s="37"/>
      <c r="L392" s="38"/>
      <c r="M392" s="38"/>
      <c r="N392" s="37"/>
      <c r="O392" s="39"/>
      <c r="P392" s="53"/>
      <c r="Q392" s="55"/>
      <c r="R392" s="137" t="s">
        <v>600</v>
      </c>
      <c r="S392" s="136" t="s">
        <v>600</v>
      </c>
      <c r="T392" s="136" t="s">
        <v>17</v>
      </c>
      <c r="U392" s="136" t="s">
        <v>17</v>
      </c>
      <c r="V392" s="136"/>
      <c r="W392" s="136"/>
      <c r="X392" s="263"/>
      <c r="Y392" s="1" t="str">
        <f t="shared" si="8"/>
        <v>_</v>
      </c>
      <c r="Z392" s="1" t="str">
        <f t="shared" si="9"/>
        <v>_</v>
      </c>
      <c r="AA392" s="25"/>
    </row>
    <row r="393" spans="1:27" s="16" customFormat="1" outlineLevel="1" x14ac:dyDescent="0.2">
      <c r="A393" s="31"/>
      <c r="B393" s="81"/>
      <c r="C393" s="82"/>
      <c r="D393" s="89"/>
      <c r="E393" s="91"/>
      <c r="F393" s="92"/>
      <c r="G393" s="93"/>
      <c r="H393" s="46"/>
      <c r="I393" s="42"/>
      <c r="J393" s="214"/>
      <c r="K393" s="37"/>
      <c r="L393" s="38"/>
      <c r="M393" s="38"/>
      <c r="N393" s="37"/>
      <c r="O393" s="39"/>
      <c r="P393" s="53"/>
      <c r="Q393" s="55"/>
      <c r="R393" s="137" t="s">
        <v>600</v>
      </c>
      <c r="S393" s="136" t="s">
        <v>600</v>
      </c>
      <c r="T393" s="136" t="s">
        <v>17</v>
      </c>
      <c r="U393" s="136" t="s">
        <v>17</v>
      </c>
      <c r="V393" s="136"/>
      <c r="W393" s="136"/>
      <c r="X393" s="263"/>
      <c r="Y393" s="1" t="str">
        <f t="shared" si="8"/>
        <v>_</v>
      </c>
      <c r="Z393" s="1" t="str">
        <f t="shared" si="9"/>
        <v>_</v>
      </c>
      <c r="AA393" s="25"/>
    </row>
    <row r="394" spans="1:27" s="16" customFormat="1" outlineLevel="1" x14ac:dyDescent="0.2">
      <c r="A394" s="31"/>
      <c r="B394" s="81"/>
      <c r="C394" s="82"/>
      <c r="D394" s="89"/>
      <c r="E394" s="91"/>
      <c r="F394" s="92"/>
      <c r="G394" s="93"/>
      <c r="H394" s="46"/>
      <c r="I394" s="42"/>
      <c r="J394" s="214"/>
      <c r="K394" s="37"/>
      <c r="L394" s="38"/>
      <c r="M394" s="38"/>
      <c r="N394" s="37"/>
      <c r="O394" s="39"/>
      <c r="P394" s="53"/>
      <c r="Q394" s="55"/>
      <c r="R394" s="137" t="s">
        <v>600</v>
      </c>
      <c r="S394" s="136" t="s">
        <v>600</v>
      </c>
      <c r="T394" s="136" t="s">
        <v>17</v>
      </c>
      <c r="U394" s="136" t="s">
        <v>17</v>
      </c>
      <c r="V394" s="136"/>
      <c r="W394" s="136"/>
      <c r="X394" s="263"/>
      <c r="Y394" s="1" t="str">
        <f t="shared" si="8"/>
        <v>_</v>
      </c>
      <c r="Z394" s="1" t="str">
        <f t="shared" si="9"/>
        <v>_</v>
      </c>
      <c r="AA394" s="25"/>
    </row>
    <row r="395" spans="1:27" s="16" customFormat="1" outlineLevel="1" x14ac:dyDescent="0.2">
      <c r="A395" s="31"/>
      <c r="B395" s="81"/>
      <c r="C395" s="82"/>
      <c r="D395" s="89"/>
      <c r="E395" s="91"/>
      <c r="F395" s="92"/>
      <c r="G395" s="93"/>
      <c r="H395" s="46"/>
      <c r="I395" s="42"/>
      <c r="J395" s="214"/>
      <c r="K395" s="37"/>
      <c r="L395" s="38"/>
      <c r="M395" s="38"/>
      <c r="N395" s="37"/>
      <c r="O395" s="39"/>
      <c r="P395" s="53"/>
      <c r="Q395" s="55"/>
      <c r="R395" s="137" t="s">
        <v>600</v>
      </c>
      <c r="S395" s="136" t="s">
        <v>600</v>
      </c>
      <c r="T395" s="136" t="s">
        <v>17</v>
      </c>
      <c r="U395" s="136" t="s">
        <v>17</v>
      </c>
      <c r="V395" s="136"/>
      <c r="W395" s="136"/>
      <c r="X395" s="263"/>
      <c r="Y395" s="1" t="str">
        <f t="shared" si="8"/>
        <v>_</v>
      </c>
      <c r="Z395" s="1" t="str">
        <f t="shared" si="9"/>
        <v>_</v>
      </c>
      <c r="AA395" s="25"/>
    </row>
    <row r="396" spans="1:27" s="16" customFormat="1" outlineLevel="1" x14ac:dyDescent="0.2">
      <c r="A396" s="31"/>
      <c r="B396" s="81"/>
      <c r="C396" s="82"/>
      <c r="D396" s="89"/>
      <c r="E396" s="91"/>
      <c r="F396" s="92"/>
      <c r="G396" s="93"/>
      <c r="H396" s="46"/>
      <c r="I396" s="42"/>
      <c r="J396" s="214"/>
      <c r="K396" s="37"/>
      <c r="L396" s="38"/>
      <c r="M396" s="38"/>
      <c r="N396" s="37"/>
      <c r="O396" s="39"/>
      <c r="P396" s="53"/>
      <c r="Q396" s="55"/>
      <c r="R396" s="137" t="s">
        <v>600</v>
      </c>
      <c r="S396" s="136" t="s">
        <v>600</v>
      </c>
      <c r="T396" s="136" t="s">
        <v>17</v>
      </c>
      <c r="U396" s="136" t="s">
        <v>17</v>
      </c>
      <c r="V396" s="136"/>
      <c r="W396" s="136"/>
      <c r="X396" s="263"/>
      <c r="Y396" s="1" t="str">
        <f t="shared" si="8"/>
        <v>_</v>
      </c>
      <c r="Z396" s="1" t="str">
        <f t="shared" si="9"/>
        <v>_</v>
      </c>
      <c r="AA396" s="25"/>
    </row>
    <row r="397" spans="1:27" s="16" customFormat="1" outlineLevel="1" x14ac:dyDescent="0.2">
      <c r="A397" s="31"/>
      <c r="B397" s="81"/>
      <c r="C397" s="82"/>
      <c r="D397" s="89"/>
      <c r="E397" s="91"/>
      <c r="F397" s="92"/>
      <c r="G397" s="93"/>
      <c r="H397" s="46"/>
      <c r="I397" s="42"/>
      <c r="J397" s="214"/>
      <c r="K397" s="37"/>
      <c r="L397" s="38"/>
      <c r="M397" s="38"/>
      <c r="N397" s="37"/>
      <c r="O397" s="39"/>
      <c r="P397" s="53"/>
      <c r="Q397" s="55"/>
      <c r="R397" s="137" t="s">
        <v>600</v>
      </c>
      <c r="S397" s="136" t="s">
        <v>600</v>
      </c>
      <c r="T397" s="136" t="s">
        <v>17</v>
      </c>
      <c r="U397" s="136" t="s">
        <v>17</v>
      </c>
      <c r="V397" s="136"/>
      <c r="W397" s="136"/>
      <c r="X397" s="263"/>
      <c r="Y397" s="1" t="str">
        <f t="shared" si="8"/>
        <v>_</v>
      </c>
      <c r="Z397" s="1" t="str">
        <f t="shared" si="9"/>
        <v>_</v>
      </c>
      <c r="AA397" s="25"/>
    </row>
    <row r="398" spans="1:27" s="16" customFormat="1" outlineLevel="1" x14ac:dyDescent="0.2">
      <c r="A398" s="31"/>
      <c r="B398" s="81"/>
      <c r="C398" s="82"/>
      <c r="D398" s="89"/>
      <c r="E398" s="91"/>
      <c r="F398" s="92"/>
      <c r="G398" s="93"/>
      <c r="H398" s="46"/>
      <c r="I398" s="42"/>
      <c r="J398" s="214"/>
      <c r="K398" s="37"/>
      <c r="L398" s="38"/>
      <c r="M398" s="38"/>
      <c r="N398" s="37"/>
      <c r="O398" s="39"/>
      <c r="P398" s="53"/>
      <c r="Q398" s="55"/>
      <c r="R398" s="137" t="s">
        <v>600</v>
      </c>
      <c r="S398" s="136" t="s">
        <v>600</v>
      </c>
      <c r="T398" s="136" t="s">
        <v>17</v>
      </c>
      <c r="U398" s="136" t="s">
        <v>17</v>
      </c>
      <c r="V398" s="136"/>
      <c r="W398" s="136"/>
      <c r="X398" s="263"/>
      <c r="Y398" s="1" t="str">
        <f t="shared" si="8"/>
        <v>_</v>
      </c>
      <c r="Z398" s="1" t="str">
        <f t="shared" si="9"/>
        <v>_</v>
      </c>
      <c r="AA398" s="25"/>
    </row>
    <row r="399" spans="1:27" s="16" customFormat="1" outlineLevel="1" x14ac:dyDescent="0.2">
      <c r="A399" s="31"/>
      <c r="B399" s="81"/>
      <c r="C399" s="82"/>
      <c r="D399" s="89"/>
      <c r="E399" s="91"/>
      <c r="F399" s="92"/>
      <c r="G399" s="93"/>
      <c r="H399" s="46"/>
      <c r="I399" s="42"/>
      <c r="J399" s="214"/>
      <c r="K399" s="37"/>
      <c r="L399" s="38"/>
      <c r="M399" s="38"/>
      <c r="N399" s="37"/>
      <c r="O399" s="39"/>
      <c r="P399" s="53"/>
      <c r="Q399" s="55"/>
      <c r="R399" s="137" t="s">
        <v>600</v>
      </c>
      <c r="S399" s="136" t="s">
        <v>600</v>
      </c>
      <c r="T399" s="136" t="s">
        <v>17</v>
      </c>
      <c r="U399" s="136" t="s">
        <v>17</v>
      </c>
      <c r="V399" s="136"/>
      <c r="W399" s="136"/>
      <c r="X399" s="263"/>
      <c r="Y399" s="1" t="str">
        <f t="shared" si="8"/>
        <v>_</v>
      </c>
      <c r="Z399" s="1" t="str">
        <f t="shared" si="9"/>
        <v>_</v>
      </c>
      <c r="AA399" s="25"/>
    </row>
    <row r="400" spans="1:27" s="16" customFormat="1" outlineLevel="1" x14ac:dyDescent="0.2">
      <c r="A400" s="31"/>
      <c r="B400" s="81"/>
      <c r="C400" s="82"/>
      <c r="D400" s="89"/>
      <c r="E400" s="91"/>
      <c r="F400" s="92"/>
      <c r="G400" s="93"/>
      <c r="H400" s="46"/>
      <c r="I400" s="42"/>
      <c r="J400" s="214"/>
      <c r="K400" s="37"/>
      <c r="L400" s="38"/>
      <c r="M400" s="38"/>
      <c r="N400" s="37"/>
      <c r="O400" s="39"/>
      <c r="P400" s="53"/>
      <c r="Q400" s="55"/>
      <c r="R400" s="137" t="s">
        <v>600</v>
      </c>
      <c r="S400" s="136" t="s">
        <v>600</v>
      </c>
      <c r="T400" s="136" t="s">
        <v>17</v>
      </c>
      <c r="U400" s="136" t="s">
        <v>17</v>
      </c>
      <c r="V400" s="136"/>
      <c r="W400" s="136"/>
      <c r="X400" s="263"/>
      <c r="Y400" s="1" t="str">
        <f t="shared" si="8"/>
        <v>_</v>
      </c>
      <c r="Z400" s="1" t="str">
        <f t="shared" si="9"/>
        <v>_</v>
      </c>
      <c r="AA400" s="25"/>
    </row>
    <row r="401" spans="1:27" s="16" customFormat="1" outlineLevel="1" x14ac:dyDescent="0.2">
      <c r="A401" s="31"/>
      <c r="B401" s="81"/>
      <c r="C401" s="82"/>
      <c r="D401" s="89"/>
      <c r="E401" s="91"/>
      <c r="F401" s="92"/>
      <c r="G401" s="93"/>
      <c r="H401" s="46"/>
      <c r="I401" s="42"/>
      <c r="J401" s="214"/>
      <c r="K401" s="37"/>
      <c r="L401" s="38"/>
      <c r="M401" s="38"/>
      <c r="N401" s="37"/>
      <c r="O401" s="39"/>
      <c r="P401" s="53"/>
      <c r="Q401" s="55"/>
      <c r="R401" s="137" t="s">
        <v>600</v>
      </c>
      <c r="S401" s="136" t="s">
        <v>600</v>
      </c>
      <c r="T401" s="136" t="s">
        <v>17</v>
      </c>
      <c r="U401" s="136" t="s">
        <v>17</v>
      </c>
      <c r="V401" s="136"/>
      <c r="W401" s="136"/>
      <c r="X401" s="263"/>
      <c r="Y401" s="1" t="str">
        <f t="shared" si="8"/>
        <v>_</v>
      </c>
      <c r="Z401" s="1" t="str">
        <f t="shared" si="9"/>
        <v>_</v>
      </c>
      <c r="AA401" s="25"/>
    </row>
    <row r="402" spans="1:27" s="16" customFormat="1" outlineLevel="1" x14ac:dyDescent="0.2">
      <c r="A402" s="31"/>
      <c r="B402" s="81"/>
      <c r="C402" s="82"/>
      <c r="D402" s="89"/>
      <c r="E402" s="91"/>
      <c r="F402" s="92"/>
      <c r="G402" s="93"/>
      <c r="H402" s="46"/>
      <c r="I402" s="42"/>
      <c r="J402" s="214"/>
      <c r="K402" s="37"/>
      <c r="L402" s="38"/>
      <c r="M402" s="38"/>
      <c r="N402" s="37"/>
      <c r="O402" s="39"/>
      <c r="P402" s="53"/>
      <c r="Q402" s="55"/>
      <c r="R402" s="137" t="s">
        <v>600</v>
      </c>
      <c r="S402" s="136" t="s">
        <v>600</v>
      </c>
      <c r="T402" s="136" t="s">
        <v>17</v>
      </c>
      <c r="U402" s="136" t="s">
        <v>17</v>
      </c>
      <c r="V402" s="136"/>
      <c r="W402" s="136"/>
      <c r="X402" s="263"/>
      <c r="Y402" s="1" t="str">
        <f t="shared" si="8"/>
        <v>_</v>
      </c>
      <c r="Z402" s="1" t="str">
        <f t="shared" si="9"/>
        <v>_</v>
      </c>
      <c r="AA402" s="25"/>
    </row>
    <row r="403" spans="1:27" s="16" customFormat="1" outlineLevel="1" x14ac:dyDescent="0.2">
      <c r="A403" s="31"/>
      <c r="B403" s="81"/>
      <c r="C403" s="82"/>
      <c r="D403" s="89"/>
      <c r="E403" s="91"/>
      <c r="F403" s="92"/>
      <c r="G403" s="93"/>
      <c r="H403" s="46"/>
      <c r="I403" s="42"/>
      <c r="J403" s="214"/>
      <c r="K403" s="37"/>
      <c r="L403" s="38"/>
      <c r="M403" s="38"/>
      <c r="N403" s="37"/>
      <c r="O403" s="39"/>
      <c r="P403" s="53"/>
      <c r="Q403" s="55"/>
      <c r="R403" s="137" t="s">
        <v>600</v>
      </c>
      <c r="S403" s="136" t="s">
        <v>600</v>
      </c>
      <c r="T403" s="136" t="s">
        <v>17</v>
      </c>
      <c r="U403" s="136" t="s">
        <v>17</v>
      </c>
      <c r="V403" s="136"/>
      <c r="W403" s="136"/>
      <c r="X403" s="263"/>
      <c r="Y403" s="1" t="str">
        <f t="shared" si="8"/>
        <v>_</v>
      </c>
      <c r="Z403" s="1" t="str">
        <f t="shared" si="9"/>
        <v>_</v>
      </c>
      <c r="AA403" s="25"/>
    </row>
    <row r="404" spans="1:27" s="16" customFormat="1" outlineLevel="1" x14ac:dyDescent="0.2">
      <c r="A404" s="31"/>
      <c r="B404" s="81"/>
      <c r="C404" s="82"/>
      <c r="D404" s="89"/>
      <c r="E404" s="91"/>
      <c r="F404" s="92"/>
      <c r="G404" s="93"/>
      <c r="H404" s="46"/>
      <c r="I404" s="42"/>
      <c r="J404" s="214"/>
      <c r="K404" s="37"/>
      <c r="L404" s="38"/>
      <c r="M404" s="38"/>
      <c r="N404" s="37"/>
      <c r="O404" s="39"/>
      <c r="P404" s="53"/>
      <c r="Q404" s="55"/>
      <c r="R404" s="137" t="s">
        <v>600</v>
      </c>
      <c r="S404" s="136" t="s">
        <v>600</v>
      </c>
      <c r="T404" s="136" t="s">
        <v>17</v>
      </c>
      <c r="U404" s="136" t="s">
        <v>17</v>
      </c>
      <c r="V404" s="136"/>
      <c r="W404" s="136"/>
      <c r="X404" s="263"/>
      <c r="Y404" s="1" t="str">
        <f t="shared" si="8"/>
        <v>_</v>
      </c>
      <c r="Z404" s="1" t="str">
        <f t="shared" si="9"/>
        <v>_</v>
      </c>
      <c r="AA404" s="25"/>
    </row>
    <row r="405" spans="1:27" s="16" customFormat="1" outlineLevel="1" x14ac:dyDescent="0.2">
      <c r="A405" s="31"/>
      <c r="B405" s="81"/>
      <c r="C405" s="82"/>
      <c r="D405" s="89"/>
      <c r="E405" s="91"/>
      <c r="F405" s="92"/>
      <c r="G405" s="93"/>
      <c r="H405" s="46"/>
      <c r="I405" s="42"/>
      <c r="J405" s="214"/>
      <c r="K405" s="37"/>
      <c r="L405" s="38"/>
      <c r="M405" s="38"/>
      <c r="N405" s="37"/>
      <c r="O405" s="39"/>
      <c r="P405" s="53"/>
      <c r="Q405" s="55"/>
      <c r="R405" s="137" t="s">
        <v>600</v>
      </c>
      <c r="S405" s="136" t="s">
        <v>600</v>
      </c>
      <c r="T405" s="136" t="s">
        <v>17</v>
      </c>
      <c r="U405" s="136" t="s">
        <v>17</v>
      </c>
      <c r="V405" s="136"/>
      <c r="W405" s="136"/>
      <c r="X405" s="263"/>
      <c r="Y405" s="1" t="str">
        <f t="shared" si="8"/>
        <v>_</v>
      </c>
      <c r="Z405" s="1" t="str">
        <f t="shared" si="9"/>
        <v>_</v>
      </c>
      <c r="AA405" s="25"/>
    </row>
    <row r="406" spans="1:27" s="16" customFormat="1" outlineLevel="1" x14ac:dyDescent="0.2">
      <c r="A406" s="31"/>
      <c r="B406" s="81"/>
      <c r="C406" s="82"/>
      <c r="D406" s="89"/>
      <c r="E406" s="91"/>
      <c r="F406" s="92"/>
      <c r="G406" s="93"/>
      <c r="H406" s="46"/>
      <c r="I406" s="42"/>
      <c r="J406" s="214"/>
      <c r="K406" s="37"/>
      <c r="L406" s="38"/>
      <c r="M406" s="38"/>
      <c r="N406" s="37"/>
      <c r="O406" s="39"/>
      <c r="P406" s="53"/>
      <c r="Q406" s="55"/>
      <c r="R406" s="137" t="s">
        <v>600</v>
      </c>
      <c r="S406" s="136" t="s">
        <v>600</v>
      </c>
      <c r="T406" s="136" t="s">
        <v>17</v>
      </c>
      <c r="U406" s="136" t="s">
        <v>17</v>
      </c>
      <c r="V406" s="136"/>
      <c r="W406" s="136"/>
      <c r="X406" s="263"/>
      <c r="Y406" s="1" t="str">
        <f t="shared" si="8"/>
        <v>_</v>
      </c>
      <c r="Z406" s="1" t="str">
        <f t="shared" si="9"/>
        <v>_</v>
      </c>
      <c r="AA406" s="25"/>
    </row>
    <row r="407" spans="1:27" s="16" customFormat="1" outlineLevel="1" x14ac:dyDescent="0.2">
      <c r="A407" s="31"/>
      <c r="B407" s="81"/>
      <c r="C407" s="82"/>
      <c r="D407" s="89"/>
      <c r="E407" s="91"/>
      <c r="F407" s="92"/>
      <c r="G407" s="93"/>
      <c r="H407" s="46"/>
      <c r="I407" s="42"/>
      <c r="J407" s="214"/>
      <c r="K407" s="37"/>
      <c r="L407" s="38"/>
      <c r="M407" s="38"/>
      <c r="N407" s="37"/>
      <c r="O407" s="39"/>
      <c r="P407" s="53"/>
      <c r="Q407" s="55"/>
      <c r="R407" s="137" t="s">
        <v>600</v>
      </c>
      <c r="S407" s="136" t="s">
        <v>600</v>
      </c>
      <c r="T407" s="136" t="s">
        <v>17</v>
      </c>
      <c r="U407" s="136" t="s">
        <v>17</v>
      </c>
      <c r="V407" s="136"/>
      <c r="W407" s="136"/>
      <c r="X407" s="263"/>
      <c r="Y407" s="1" t="str">
        <f t="shared" si="8"/>
        <v>_</v>
      </c>
      <c r="Z407" s="1" t="str">
        <f t="shared" si="9"/>
        <v>_</v>
      </c>
      <c r="AA407" s="25"/>
    </row>
    <row r="408" spans="1:27" s="16" customFormat="1" outlineLevel="1" x14ac:dyDescent="0.2">
      <c r="A408" s="31"/>
      <c r="B408" s="81"/>
      <c r="C408" s="82"/>
      <c r="D408" s="89"/>
      <c r="E408" s="91"/>
      <c r="F408" s="92"/>
      <c r="G408" s="93"/>
      <c r="H408" s="46"/>
      <c r="I408" s="42"/>
      <c r="J408" s="214"/>
      <c r="K408" s="37"/>
      <c r="L408" s="38"/>
      <c r="M408" s="38"/>
      <c r="N408" s="37"/>
      <c r="O408" s="39"/>
      <c r="P408" s="53"/>
      <c r="Q408" s="55"/>
      <c r="R408" s="137" t="s">
        <v>600</v>
      </c>
      <c r="S408" s="136" t="s">
        <v>600</v>
      </c>
      <c r="T408" s="136" t="s">
        <v>17</v>
      </c>
      <c r="U408" s="136" t="s">
        <v>17</v>
      </c>
      <c r="V408" s="136"/>
      <c r="W408" s="136"/>
      <c r="X408" s="263"/>
      <c r="Y408" s="1" t="str">
        <f t="shared" si="8"/>
        <v>_</v>
      </c>
      <c r="Z408" s="1" t="str">
        <f t="shared" si="9"/>
        <v>_</v>
      </c>
      <c r="AA408" s="25"/>
    </row>
    <row r="409" spans="1:27" s="16" customFormat="1" outlineLevel="1" x14ac:dyDescent="0.2">
      <c r="A409" s="31"/>
      <c r="B409" s="81"/>
      <c r="C409" s="82"/>
      <c r="D409" s="89"/>
      <c r="E409" s="91"/>
      <c r="F409" s="92"/>
      <c r="G409" s="93"/>
      <c r="H409" s="46"/>
      <c r="I409" s="42"/>
      <c r="J409" s="214"/>
      <c r="K409" s="37"/>
      <c r="L409" s="38"/>
      <c r="M409" s="38"/>
      <c r="N409" s="37"/>
      <c r="O409" s="39"/>
      <c r="P409" s="53"/>
      <c r="Q409" s="55"/>
      <c r="R409" s="137" t="s">
        <v>600</v>
      </c>
      <c r="S409" s="136" t="s">
        <v>600</v>
      </c>
      <c r="T409" s="136" t="s">
        <v>17</v>
      </c>
      <c r="U409" s="136" t="s">
        <v>17</v>
      </c>
      <c r="V409" s="136"/>
      <c r="W409" s="136"/>
      <c r="X409" s="263"/>
      <c r="Y409" s="1" t="str">
        <f t="shared" si="8"/>
        <v>_</v>
      </c>
      <c r="Z409" s="1" t="str">
        <f t="shared" si="9"/>
        <v>_</v>
      </c>
      <c r="AA409" s="25"/>
    </row>
    <row r="410" spans="1:27" s="16" customFormat="1" outlineLevel="1" x14ac:dyDescent="0.2">
      <c r="A410" s="31"/>
      <c r="B410" s="81"/>
      <c r="C410" s="82"/>
      <c r="D410" s="89"/>
      <c r="E410" s="91"/>
      <c r="F410" s="92"/>
      <c r="G410" s="93"/>
      <c r="H410" s="46"/>
      <c r="I410" s="42"/>
      <c r="J410" s="214"/>
      <c r="K410" s="37"/>
      <c r="L410" s="38"/>
      <c r="M410" s="38"/>
      <c r="N410" s="37"/>
      <c r="O410" s="39"/>
      <c r="P410" s="53"/>
      <c r="Q410" s="55"/>
      <c r="R410" s="137" t="s">
        <v>600</v>
      </c>
      <c r="S410" s="136" t="s">
        <v>600</v>
      </c>
      <c r="T410" s="136" t="s">
        <v>17</v>
      </c>
      <c r="U410" s="136" t="s">
        <v>17</v>
      </c>
      <c r="V410" s="136"/>
      <c r="W410" s="136"/>
      <c r="X410" s="263"/>
      <c r="Y410" s="1" t="str">
        <f t="shared" si="8"/>
        <v>_</v>
      </c>
      <c r="Z410" s="1" t="str">
        <f t="shared" si="9"/>
        <v>_</v>
      </c>
      <c r="AA410" s="25"/>
    </row>
    <row r="411" spans="1:27" s="16" customFormat="1" outlineLevel="1" x14ac:dyDescent="0.2">
      <c r="A411" s="31"/>
      <c r="B411" s="81"/>
      <c r="C411" s="82"/>
      <c r="D411" s="89"/>
      <c r="E411" s="91"/>
      <c r="F411" s="92"/>
      <c r="G411" s="93"/>
      <c r="H411" s="46"/>
      <c r="I411" s="42"/>
      <c r="J411" s="214"/>
      <c r="K411" s="37"/>
      <c r="L411" s="38"/>
      <c r="M411" s="38"/>
      <c r="N411" s="37"/>
      <c r="O411" s="39"/>
      <c r="P411" s="53"/>
      <c r="Q411" s="55"/>
      <c r="R411" s="137" t="s">
        <v>600</v>
      </c>
      <c r="S411" s="136" t="s">
        <v>600</v>
      </c>
      <c r="T411" s="136" t="s">
        <v>17</v>
      </c>
      <c r="U411" s="136" t="s">
        <v>17</v>
      </c>
      <c r="V411" s="136"/>
      <c r="W411" s="136"/>
      <c r="X411" s="263"/>
      <c r="Y411" s="1" t="str">
        <f t="shared" si="8"/>
        <v>_</v>
      </c>
      <c r="Z411" s="1" t="str">
        <f t="shared" si="9"/>
        <v>_</v>
      </c>
      <c r="AA411" s="25"/>
    </row>
    <row r="412" spans="1:27" s="16" customFormat="1" outlineLevel="1" x14ac:dyDescent="0.2">
      <c r="A412" s="31"/>
      <c r="B412" s="81"/>
      <c r="C412" s="82"/>
      <c r="D412" s="89"/>
      <c r="E412" s="91"/>
      <c r="F412" s="92"/>
      <c r="G412" s="93"/>
      <c r="H412" s="46"/>
      <c r="I412" s="42"/>
      <c r="J412" s="214"/>
      <c r="K412" s="37"/>
      <c r="L412" s="38"/>
      <c r="M412" s="38"/>
      <c r="N412" s="37"/>
      <c r="O412" s="39"/>
      <c r="P412" s="53"/>
      <c r="Q412" s="55"/>
      <c r="R412" s="137" t="s">
        <v>600</v>
      </c>
      <c r="S412" s="136" t="s">
        <v>600</v>
      </c>
      <c r="T412" s="136" t="s">
        <v>17</v>
      </c>
      <c r="U412" s="136" t="s">
        <v>17</v>
      </c>
      <c r="V412" s="136"/>
      <c r="W412" s="136"/>
      <c r="X412" s="263"/>
      <c r="Y412" s="1" t="str">
        <f t="shared" si="8"/>
        <v>_</v>
      </c>
      <c r="Z412" s="1" t="str">
        <f t="shared" si="9"/>
        <v>_</v>
      </c>
      <c r="AA412" s="25"/>
    </row>
    <row r="413" spans="1:27" s="16" customFormat="1" outlineLevel="1" x14ac:dyDescent="0.2">
      <c r="A413" s="31"/>
      <c r="B413" s="81"/>
      <c r="C413" s="82"/>
      <c r="D413" s="89"/>
      <c r="E413" s="91"/>
      <c r="F413" s="92"/>
      <c r="G413" s="93"/>
      <c r="H413" s="46"/>
      <c r="I413" s="42"/>
      <c r="J413" s="214"/>
      <c r="K413" s="37"/>
      <c r="L413" s="38"/>
      <c r="M413" s="38"/>
      <c r="N413" s="37"/>
      <c r="O413" s="39"/>
      <c r="P413" s="53"/>
      <c r="Q413" s="55"/>
      <c r="R413" s="137" t="s">
        <v>600</v>
      </c>
      <c r="S413" s="136" t="s">
        <v>600</v>
      </c>
      <c r="T413" s="136" t="s">
        <v>17</v>
      </c>
      <c r="U413" s="136" t="s">
        <v>17</v>
      </c>
      <c r="V413" s="136"/>
      <c r="W413" s="136"/>
      <c r="X413" s="263"/>
      <c r="Y413" s="1" t="str">
        <f t="shared" si="8"/>
        <v>_</v>
      </c>
      <c r="Z413" s="1" t="str">
        <f t="shared" si="9"/>
        <v>_</v>
      </c>
      <c r="AA413" s="25"/>
    </row>
    <row r="414" spans="1:27" s="16" customFormat="1" outlineLevel="1" x14ac:dyDescent="0.2">
      <c r="A414" s="31"/>
      <c r="B414" s="81"/>
      <c r="C414" s="82"/>
      <c r="D414" s="89"/>
      <c r="E414" s="91"/>
      <c r="F414" s="92"/>
      <c r="G414" s="93"/>
      <c r="H414" s="46"/>
      <c r="I414" s="42"/>
      <c r="J414" s="214"/>
      <c r="K414" s="37"/>
      <c r="L414" s="38"/>
      <c r="M414" s="38"/>
      <c r="N414" s="37"/>
      <c r="O414" s="39"/>
      <c r="P414" s="53"/>
      <c r="Q414" s="55"/>
      <c r="R414" s="137" t="s">
        <v>600</v>
      </c>
      <c r="S414" s="136" t="s">
        <v>600</v>
      </c>
      <c r="T414" s="136" t="s">
        <v>17</v>
      </c>
      <c r="U414" s="136" t="s">
        <v>17</v>
      </c>
      <c r="V414" s="136"/>
      <c r="W414" s="136"/>
      <c r="X414" s="263"/>
      <c r="Y414" s="1" t="str">
        <f t="shared" si="8"/>
        <v>_</v>
      </c>
      <c r="Z414" s="1" t="str">
        <f t="shared" si="9"/>
        <v>_</v>
      </c>
      <c r="AA414" s="25"/>
    </row>
    <row r="415" spans="1:27" s="16" customFormat="1" outlineLevel="1" x14ac:dyDescent="0.2">
      <c r="A415" s="31"/>
      <c r="B415" s="81"/>
      <c r="C415" s="82"/>
      <c r="D415" s="89"/>
      <c r="E415" s="91"/>
      <c r="F415" s="92"/>
      <c r="G415" s="93"/>
      <c r="H415" s="46"/>
      <c r="I415" s="42"/>
      <c r="J415" s="214"/>
      <c r="K415" s="37"/>
      <c r="L415" s="38"/>
      <c r="M415" s="38"/>
      <c r="N415" s="37"/>
      <c r="O415" s="39"/>
      <c r="P415" s="53"/>
      <c r="Q415" s="55"/>
      <c r="R415" s="137" t="s">
        <v>600</v>
      </c>
      <c r="S415" s="136" t="s">
        <v>600</v>
      </c>
      <c r="T415" s="136" t="s">
        <v>17</v>
      </c>
      <c r="U415" s="136" t="s">
        <v>17</v>
      </c>
      <c r="V415" s="136"/>
      <c r="W415" s="136"/>
      <c r="X415" s="263"/>
      <c r="Y415" s="1" t="str">
        <f t="shared" si="8"/>
        <v>_</v>
      </c>
      <c r="Z415" s="1" t="str">
        <f t="shared" si="9"/>
        <v>_</v>
      </c>
      <c r="AA415" s="25"/>
    </row>
    <row r="416" spans="1:27" s="16" customFormat="1" outlineLevel="1" x14ac:dyDescent="0.2">
      <c r="A416" s="31"/>
      <c r="B416" s="81"/>
      <c r="C416" s="82"/>
      <c r="D416" s="89"/>
      <c r="E416" s="91"/>
      <c r="F416" s="92"/>
      <c r="G416" s="93"/>
      <c r="H416" s="46"/>
      <c r="I416" s="42"/>
      <c r="J416" s="214"/>
      <c r="K416" s="37"/>
      <c r="L416" s="38"/>
      <c r="M416" s="38"/>
      <c r="N416" s="37"/>
      <c r="O416" s="39"/>
      <c r="P416" s="53"/>
      <c r="Q416" s="55"/>
      <c r="R416" s="137" t="s">
        <v>600</v>
      </c>
      <c r="S416" s="136" t="s">
        <v>600</v>
      </c>
      <c r="T416" s="136" t="s">
        <v>17</v>
      </c>
      <c r="U416" s="136" t="s">
        <v>17</v>
      </c>
      <c r="V416" s="136"/>
      <c r="W416" s="136"/>
      <c r="X416" s="263"/>
      <c r="Y416" s="1" t="str">
        <f t="shared" si="8"/>
        <v>_</v>
      </c>
      <c r="Z416" s="1" t="str">
        <f t="shared" si="9"/>
        <v>_</v>
      </c>
      <c r="AA416" s="25"/>
    </row>
    <row r="417" spans="1:27" s="16" customFormat="1" outlineLevel="1" x14ac:dyDescent="0.2">
      <c r="A417" s="31"/>
      <c r="B417" s="81"/>
      <c r="C417" s="82"/>
      <c r="D417" s="89"/>
      <c r="E417" s="91"/>
      <c r="F417" s="92"/>
      <c r="G417" s="93"/>
      <c r="H417" s="46"/>
      <c r="I417" s="42"/>
      <c r="J417" s="214"/>
      <c r="K417" s="37"/>
      <c r="L417" s="38"/>
      <c r="M417" s="38"/>
      <c r="N417" s="37"/>
      <c r="O417" s="39"/>
      <c r="P417" s="53"/>
      <c r="Q417" s="55"/>
      <c r="R417" s="137" t="s">
        <v>600</v>
      </c>
      <c r="S417" s="136" t="s">
        <v>600</v>
      </c>
      <c r="T417" s="136" t="s">
        <v>17</v>
      </c>
      <c r="U417" s="136" t="s">
        <v>17</v>
      </c>
      <c r="V417" s="136"/>
      <c r="W417" s="136"/>
      <c r="X417" s="263"/>
      <c r="Y417" s="1" t="str">
        <f t="shared" si="8"/>
        <v>_</v>
      </c>
      <c r="Z417" s="1" t="str">
        <f t="shared" si="9"/>
        <v>_</v>
      </c>
      <c r="AA417" s="25"/>
    </row>
    <row r="418" spans="1:27" s="16" customFormat="1" outlineLevel="1" x14ac:dyDescent="0.2">
      <c r="A418" s="31"/>
      <c r="B418" s="81"/>
      <c r="C418" s="82"/>
      <c r="D418" s="89"/>
      <c r="E418" s="91"/>
      <c r="F418" s="92"/>
      <c r="G418" s="93"/>
      <c r="H418" s="46"/>
      <c r="I418" s="42"/>
      <c r="J418" s="214"/>
      <c r="K418" s="37"/>
      <c r="L418" s="38"/>
      <c r="M418" s="38"/>
      <c r="N418" s="37"/>
      <c r="O418" s="39"/>
      <c r="P418" s="53"/>
      <c r="Q418" s="55"/>
      <c r="R418" s="137" t="s">
        <v>600</v>
      </c>
      <c r="S418" s="136" t="s">
        <v>600</v>
      </c>
      <c r="T418" s="136" t="s">
        <v>17</v>
      </c>
      <c r="U418" s="136" t="s">
        <v>17</v>
      </c>
      <c r="V418" s="136"/>
      <c r="W418" s="136"/>
      <c r="X418" s="263"/>
      <c r="Y418" s="1" t="str">
        <f t="shared" si="8"/>
        <v>_</v>
      </c>
      <c r="Z418" s="1" t="str">
        <f t="shared" si="9"/>
        <v>_</v>
      </c>
      <c r="AA418" s="25"/>
    </row>
    <row r="419" spans="1:27" s="16" customFormat="1" outlineLevel="1" x14ac:dyDescent="0.2">
      <c r="A419" s="31"/>
      <c r="B419" s="81"/>
      <c r="C419" s="82"/>
      <c r="D419" s="89"/>
      <c r="E419" s="91"/>
      <c r="F419" s="92"/>
      <c r="G419" s="93"/>
      <c r="H419" s="46"/>
      <c r="I419" s="42"/>
      <c r="J419" s="214"/>
      <c r="K419" s="37"/>
      <c r="L419" s="38"/>
      <c r="M419" s="38"/>
      <c r="N419" s="37"/>
      <c r="O419" s="39"/>
      <c r="P419" s="53"/>
      <c r="Q419" s="55"/>
      <c r="R419" s="137" t="s">
        <v>600</v>
      </c>
      <c r="S419" s="136" t="s">
        <v>600</v>
      </c>
      <c r="T419" s="136" t="s">
        <v>17</v>
      </c>
      <c r="U419" s="136" t="s">
        <v>17</v>
      </c>
      <c r="V419" s="136"/>
      <c r="W419" s="136"/>
      <c r="X419" s="263"/>
      <c r="Y419" s="1" t="str">
        <f t="shared" si="8"/>
        <v>_</v>
      </c>
      <c r="Z419" s="1" t="str">
        <f t="shared" si="9"/>
        <v>_</v>
      </c>
      <c r="AA419" s="25"/>
    </row>
    <row r="420" spans="1:27" s="16" customFormat="1" outlineLevel="1" x14ac:dyDescent="0.2">
      <c r="A420" s="31"/>
      <c r="B420" s="81"/>
      <c r="C420" s="82"/>
      <c r="D420" s="89"/>
      <c r="E420" s="91"/>
      <c r="F420" s="92"/>
      <c r="G420" s="93"/>
      <c r="H420" s="46"/>
      <c r="I420" s="42"/>
      <c r="J420" s="214"/>
      <c r="K420" s="37"/>
      <c r="L420" s="38"/>
      <c r="M420" s="38"/>
      <c r="N420" s="37"/>
      <c r="O420" s="39"/>
      <c r="P420" s="53"/>
      <c r="Q420" s="55"/>
      <c r="R420" s="137" t="s">
        <v>600</v>
      </c>
      <c r="S420" s="136" t="s">
        <v>600</v>
      </c>
      <c r="T420" s="136" t="s">
        <v>17</v>
      </c>
      <c r="U420" s="136" t="s">
        <v>17</v>
      </c>
      <c r="V420" s="136"/>
      <c r="W420" s="136"/>
      <c r="X420" s="263"/>
      <c r="Y420" s="1" t="str">
        <f t="shared" si="8"/>
        <v>_</v>
      </c>
      <c r="Z420" s="1" t="str">
        <f t="shared" si="9"/>
        <v>_</v>
      </c>
      <c r="AA420" s="25"/>
    </row>
    <row r="421" spans="1:27" s="16" customFormat="1" outlineLevel="1" x14ac:dyDescent="0.2">
      <c r="A421" s="31"/>
      <c r="B421" s="81"/>
      <c r="C421" s="82"/>
      <c r="D421" s="89"/>
      <c r="E421" s="91"/>
      <c r="F421" s="92"/>
      <c r="G421" s="93"/>
      <c r="H421" s="46"/>
      <c r="I421" s="42"/>
      <c r="J421" s="214"/>
      <c r="K421" s="37"/>
      <c r="L421" s="38"/>
      <c r="M421" s="38"/>
      <c r="N421" s="37"/>
      <c r="O421" s="39"/>
      <c r="P421" s="53"/>
      <c r="Q421" s="55"/>
      <c r="R421" s="137" t="s">
        <v>600</v>
      </c>
      <c r="S421" s="136" t="s">
        <v>600</v>
      </c>
      <c r="T421" s="136" t="s">
        <v>17</v>
      </c>
      <c r="U421" s="136" t="s">
        <v>17</v>
      </c>
      <c r="V421" s="136"/>
      <c r="W421" s="136"/>
      <c r="X421" s="263"/>
      <c r="Y421" s="1" t="str">
        <f t="shared" si="8"/>
        <v>_</v>
      </c>
      <c r="Z421" s="1" t="str">
        <f t="shared" si="9"/>
        <v>_</v>
      </c>
      <c r="AA421" s="25"/>
    </row>
    <row r="422" spans="1:27" s="16" customFormat="1" outlineLevel="1" x14ac:dyDescent="0.2">
      <c r="A422" s="31"/>
      <c r="B422" s="81"/>
      <c r="C422" s="82"/>
      <c r="D422" s="89"/>
      <c r="E422" s="91"/>
      <c r="F422" s="92"/>
      <c r="G422" s="93"/>
      <c r="H422" s="46"/>
      <c r="I422" s="42"/>
      <c r="J422" s="214"/>
      <c r="K422" s="37"/>
      <c r="L422" s="38"/>
      <c r="M422" s="38"/>
      <c r="N422" s="37"/>
      <c r="O422" s="39"/>
      <c r="P422" s="53"/>
      <c r="Q422" s="55"/>
      <c r="R422" s="137" t="s">
        <v>600</v>
      </c>
      <c r="S422" s="136" t="s">
        <v>600</v>
      </c>
      <c r="T422" s="136" t="s">
        <v>17</v>
      </c>
      <c r="U422" s="136" t="s">
        <v>17</v>
      </c>
      <c r="V422" s="136"/>
      <c r="W422" s="136"/>
      <c r="X422" s="263"/>
      <c r="Y422" s="1" t="str">
        <f t="shared" si="8"/>
        <v>_</v>
      </c>
      <c r="Z422" s="1" t="str">
        <f t="shared" si="9"/>
        <v>_</v>
      </c>
      <c r="AA422" s="25"/>
    </row>
    <row r="423" spans="1:27" s="16" customFormat="1" outlineLevel="1" x14ac:dyDescent="0.2">
      <c r="A423" s="31"/>
      <c r="B423" s="81"/>
      <c r="C423" s="82"/>
      <c r="D423" s="89"/>
      <c r="E423" s="91"/>
      <c r="F423" s="92"/>
      <c r="G423" s="93"/>
      <c r="H423" s="46"/>
      <c r="I423" s="42"/>
      <c r="J423" s="214"/>
      <c r="K423" s="37"/>
      <c r="L423" s="38"/>
      <c r="M423" s="38"/>
      <c r="N423" s="37"/>
      <c r="O423" s="39"/>
      <c r="P423" s="53"/>
      <c r="Q423" s="55"/>
      <c r="R423" s="137" t="s">
        <v>600</v>
      </c>
      <c r="S423" s="136" t="s">
        <v>600</v>
      </c>
      <c r="T423" s="136" t="s">
        <v>17</v>
      </c>
      <c r="U423" s="136" t="s">
        <v>17</v>
      </c>
      <c r="V423" s="136"/>
      <c r="W423" s="136"/>
      <c r="X423" s="263"/>
      <c r="Y423" s="1" t="str">
        <f t="shared" si="8"/>
        <v>_</v>
      </c>
      <c r="Z423" s="1" t="str">
        <f t="shared" si="9"/>
        <v>_</v>
      </c>
      <c r="AA423" s="25"/>
    </row>
    <row r="424" spans="1:27" s="16" customFormat="1" outlineLevel="1" x14ac:dyDescent="0.2">
      <c r="A424" s="31"/>
      <c r="B424" s="81"/>
      <c r="C424" s="82"/>
      <c r="D424" s="89"/>
      <c r="E424" s="91"/>
      <c r="F424" s="92"/>
      <c r="G424" s="93"/>
      <c r="H424" s="46"/>
      <c r="I424" s="42"/>
      <c r="J424" s="214"/>
      <c r="K424" s="37"/>
      <c r="L424" s="38"/>
      <c r="M424" s="38"/>
      <c r="N424" s="37"/>
      <c r="O424" s="39"/>
      <c r="P424" s="53"/>
      <c r="Q424" s="55"/>
      <c r="R424" s="137" t="s">
        <v>600</v>
      </c>
      <c r="S424" s="136" t="s">
        <v>600</v>
      </c>
      <c r="T424" s="136" t="s">
        <v>17</v>
      </c>
      <c r="U424" s="136" t="s">
        <v>17</v>
      </c>
      <c r="V424" s="136"/>
      <c r="W424" s="136"/>
      <c r="X424" s="263"/>
      <c r="Y424" s="1" t="str">
        <f t="shared" si="8"/>
        <v>_</v>
      </c>
      <c r="Z424" s="1" t="str">
        <f t="shared" si="9"/>
        <v>_</v>
      </c>
      <c r="AA424" s="25"/>
    </row>
    <row r="425" spans="1:27" s="16" customFormat="1" outlineLevel="1" x14ac:dyDescent="0.2">
      <c r="A425" s="31"/>
      <c r="B425" s="81"/>
      <c r="C425" s="82"/>
      <c r="D425" s="89"/>
      <c r="E425" s="91"/>
      <c r="F425" s="92"/>
      <c r="G425" s="93"/>
      <c r="H425" s="46"/>
      <c r="I425" s="42"/>
      <c r="J425" s="214"/>
      <c r="K425" s="37"/>
      <c r="L425" s="38"/>
      <c r="M425" s="38"/>
      <c r="N425" s="37"/>
      <c r="O425" s="39"/>
      <c r="P425" s="53"/>
      <c r="Q425" s="55"/>
      <c r="R425" s="137" t="s">
        <v>600</v>
      </c>
      <c r="S425" s="136" t="s">
        <v>600</v>
      </c>
      <c r="T425" s="136" t="s">
        <v>17</v>
      </c>
      <c r="U425" s="136" t="s">
        <v>17</v>
      </c>
      <c r="V425" s="136"/>
      <c r="W425" s="136"/>
      <c r="X425" s="263"/>
      <c r="Y425" s="1" t="str">
        <f t="shared" si="8"/>
        <v>_</v>
      </c>
      <c r="Z425" s="1" t="str">
        <f t="shared" si="9"/>
        <v>_</v>
      </c>
      <c r="AA425" s="25"/>
    </row>
    <row r="426" spans="1:27" s="16" customFormat="1" outlineLevel="1" x14ac:dyDescent="0.2">
      <c r="A426" s="31"/>
      <c r="B426" s="81"/>
      <c r="C426" s="82"/>
      <c r="D426" s="89"/>
      <c r="E426" s="91"/>
      <c r="F426" s="92"/>
      <c r="G426" s="93"/>
      <c r="H426" s="46"/>
      <c r="I426" s="42"/>
      <c r="J426" s="214"/>
      <c r="K426" s="37"/>
      <c r="L426" s="38"/>
      <c r="M426" s="38"/>
      <c r="N426" s="37"/>
      <c r="O426" s="39"/>
      <c r="P426" s="53"/>
      <c r="Q426" s="55"/>
      <c r="R426" s="137" t="s">
        <v>600</v>
      </c>
      <c r="S426" s="136" t="s">
        <v>600</v>
      </c>
      <c r="T426" s="136" t="s">
        <v>17</v>
      </c>
      <c r="U426" s="136" t="s">
        <v>17</v>
      </c>
      <c r="V426" s="136"/>
      <c r="W426" s="136"/>
      <c r="X426" s="263"/>
      <c r="Y426" s="1" t="str">
        <f t="shared" si="8"/>
        <v>_</v>
      </c>
      <c r="Z426" s="1" t="str">
        <f t="shared" si="9"/>
        <v>_</v>
      </c>
      <c r="AA426" s="25"/>
    </row>
    <row r="427" spans="1:27" s="16" customFormat="1" outlineLevel="1" x14ac:dyDescent="0.2">
      <c r="A427" s="31"/>
      <c r="B427" s="81"/>
      <c r="C427" s="82"/>
      <c r="D427" s="89"/>
      <c r="E427" s="91"/>
      <c r="F427" s="92"/>
      <c r="G427" s="93"/>
      <c r="H427" s="46"/>
      <c r="I427" s="42"/>
      <c r="J427" s="214"/>
      <c r="K427" s="37"/>
      <c r="L427" s="38"/>
      <c r="M427" s="38"/>
      <c r="N427" s="37"/>
      <c r="O427" s="39"/>
      <c r="P427" s="53"/>
      <c r="Q427" s="55"/>
      <c r="R427" s="137" t="s">
        <v>600</v>
      </c>
      <c r="S427" s="136" t="s">
        <v>600</v>
      </c>
      <c r="T427" s="136" t="s">
        <v>17</v>
      </c>
      <c r="U427" s="136" t="s">
        <v>17</v>
      </c>
      <c r="V427" s="136"/>
      <c r="W427" s="136"/>
      <c r="X427" s="263"/>
      <c r="Y427" s="1" t="str">
        <f t="shared" si="8"/>
        <v>_</v>
      </c>
      <c r="Z427" s="1" t="str">
        <f t="shared" si="9"/>
        <v>_</v>
      </c>
      <c r="AA427" s="25"/>
    </row>
    <row r="428" spans="1:27" s="16" customFormat="1" outlineLevel="1" x14ac:dyDescent="0.2">
      <c r="A428" s="31"/>
      <c r="B428" s="81"/>
      <c r="C428" s="82"/>
      <c r="D428" s="89"/>
      <c r="E428" s="91"/>
      <c r="F428" s="92"/>
      <c r="G428" s="93"/>
      <c r="H428" s="46"/>
      <c r="I428" s="42"/>
      <c r="J428" s="214"/>
      <c r="K428" s="37"/>
      <c r="L428" s="38"/>
      <c r="M428" s="38"/>
      <c r="N428" s="37"/>
      <c r="O428" s="39"/>
      <c r="P428" s="53"/>
      <c r="Q428" s="55"/>
      <c r="R428" s="137" t="s">
        <v>600</v>
      </c>
      <c r="S428" s="136" t="s">
        <v>600</v>
      </c>
      <c r="T428" s="136" t="s">
        <v>17</v>
      </c>
      <c r="U428" s="136" t="s">
        <v>17</v>
      </c>
      <c r="V428" s="136"/>
      <c r="W428" s="136"/>
      <c r="X428" s="263"/>
      <c r="Y428" s="1" t="str">
        <f t="shared" si="8"/>
        <v>_</v>
      </c>
      <c r="Z428" s="1" t="str">
        <f t="shared" si="9"/>
        <v>_</v>
      </c>
      <c r="AA428" s="25"/>
    </row>
    <row r="429" spans="1:27" s="16" customFormat="1" outlineLevel="1" x14ac:dyDescent="0.2">
      <c r="A429" s="31"/>
      <c r="B429" s="81"/>
      <c r="C429" s="82"/>
      <c r="D429" s="89"/>
      <c r="E429" s="91"/>
      <c r="F429" s="92"/>
      <c r="G429" s="93"/>
      <c r="H429" s="46"/>
      <c r="I429" s="42"/>
      <c r="J429" s="214"/>
      <c r="K429" s="37"/>
      <c r="L429" s="38"/>
      <c r="M429" s="38"/>
      <c r="N429" s="37"/>
      <c r="O429" s="39"/>
      <c r="P429" s="53"/>
      <c r="Q429" s="55"/>
      <c r="R429" s="137" t="s">
        <v>600</v>
      </c>
      <c r="S429" s="136" t="s">
        <v>600</v>
      </c>
      <c r="T429" s="136" t="s">
        <v>17</v>
      </c>
      <c r="U429" s="136" t="s">
        <v>17</v>
      </c>
      <c r="V429" s="136"/>
      <c r="W429" s="136"/>
      <c r="X429" s="263"/>
      <c r="Y429" s="1" t="str">
        <f t="shared" si="8"/>
        <v>_</v>
      </c>
      <c r="Z429" s="1" t="str">
        <f t="shared" si="9"/>
        <v>_</v>
      </c>
      <c r="AA429" s="25"/>
    </row>
    <row r="430" spans="1:27" s="16" customFormat="1" outlineLevel="1" x14ac:dyDescent="0.2">
      <c r="A430" s="31"/>
      <c r="B430" s="81"/>
      <c r="C430" s="82"/>
      <c r="D430" s="89"/>
      <c r="E430" s="91"/>
      <c r="F430" s="92"/>
      <c r="G430" s="93"/>
      <c r="H430" s="46"/>
      <c r="I430" s="42"/>
      <c r="J430" s="214"/>
      <c r="K430" s="37"/>
      <c r="L430" s="38"/>
      <c r="M430" s="38"/>
      <c r="N430" s="37"/>
      <c r="O430" s="39"/>
      <c r="P430" s="53"/>
      <c r="Q430" s="55"/>
      <c r="R430" s="137" t="s">
        <v>600</v>
      </c>
      <c r="S430" s="136" t="s">
        <v>600</v>
      </c>
      <c r="T430" s="136" t="s">
        <v>17</v>
      </c>
      <c r="U430" s="136" t="s">
        <v>17</v>
      </c>
      <c r="V430" s="136"/>
      <c r="W430" s="136"/>
      <c r="X430" s="263"/>
      <c r="Y430" s="1" t="str">
        <f t="shared" si="8"/>
        <v>_</v>
      </c>
      <c r="Z430" s="1" t="str">
        <f t="shared" si="9"/>
        <v>_</v>
      </c>
      <c r="AA430" s="25"/>
    </row>
    <row r="431" spans="1:27" s="16" customFormat="1" outlineLevel="1" x14ac:dyDescent="0.2">
      <c r="A431" s="31"/>
      <c r="B431" s="81"/>
      <c r="C431" s="82"/>
      <c r="D431" s="89"/>
      <c r="E431" s="91"/>
      <c r="F431" s="92"/>
      <c r="G431" s="93"/>
      <c r="H431" s="46"/>
      <c r="I431" s="42"/>
      <c r="J431" s="214"/>
      <c r="K431" s="37"/>
      <c r="L431" s="38"/>
      <c r="M431" s="38"/>
      <c r="N431" s="37"/>
      <c r="O431" s="39"/>
      <c r="P431" s="53"/>
      <c r="Q431" s="55"/>
      <c r="R431" s="137" t="s">
        <v>600</v>
      </c>
      <c r="S431" s="136" t="s">
        <v>600</v>
      </c>
      <c r="T431" s="136" t="s">
        <v>17</v>
      </c>
      <c r="U431" s="136" t="s">
        <v>17</v>
      </c>
      <c r="V431" s="136"/>
      <c r="W431" s="136"/>
      <c r="X431" s="263"/>
      <c r="Y431" s="1" t="str">
        <f t="shared" si="8"/>
        <v>_</v>
      </c>
      <c r="Z431" s="1" t="str">
        <f t="shared" si="9"/>
        <v>_</v>
      </c>
      <c r="AA431" s="25"/>
    </row>
    <row r="432" spans="1:27" s="16" customFormat="1" outlineLevel="1" x14ac:dyDescent="0.2">
      <c r="A432" s="31"/>
      <c r="B432" s="81"/>
      <c r="C432" s="82"/>
      <c r="D432" s="89"/>
      <c r="E432" s="91"/>
      <c r="F432" s="92"/>
      <c r="G432" s="93"/>
      <c r="H432" s="46"/>
      <c r="I432" s="42"/>
      <c r="J432" s="214"/>
      <c r="K432" s="37"/>
      <c r="L432" s="38"/>
      <c r="M432" s="38"/>
      <c r="N432" s="37"/>
      <c r="O432" s="39"/>
      <c r="P432" s="53"/>
      <c r="Q432" s="55"/>
      <c r="R432" s="137" t="s">
        <v>600</v>
      </c>
      <c r="S432" s="136" t="s">
        <v>600</v>
      </c>
      <c r="T432" s="136" t="s">
        <v>17</v>
      </c>
      <c r="U432" s="136" t="s">
        <v>17</v>
      </c>
      <c r="V432" s="136"/>
      <c r="W432" s="136"/>
      <c r="X432" s="263"/>
      <c r="Y432" s="1" t="str">
        <f t="shared" si="8"/>
        <v>_</v>
      </c>
      <c r="Z432" s="1" t="str">
        <f t="shared" si="9"/>
        <v>_</v>
      </c>
      <c r="AA432" s="25"/>
    </row>
    <row r="433" spans="1:27" s="16" customFormat="1" outlineLevel="1" x14ac:dyDescent="0.2">
      <c r="A433" s="31"/>
      <c r="B433" s="81"/>
      <c r="C433" s="82"/>
      <c r="D433" s="89"/>
      <c r="E433" s="91"/>
      <c r="F433" s="92"/>
      <c r="G433" s="93"/>
      <c r="H433" s="46"/>
      <c r="I433" s="42"/>
      <c r="J433" s="214"/>
      <c r="K433" s="37"/>
      <c r="L433" s="38"/>
      <c r="M433" s="38"/>
      <c r="N433" s="37"/>
      <c r="O433" s="39"/>
      <c r="P433" s="53"/>
      <c r="Q433" s="55"/>
      <c r="R433" s="137" t="s">
        <v>600</v>
      </c>
      <c r="S433" s="136" t="s">
        <v>600</v>
      </c>
      <c r="T433" s="136" t="s">
        <v>17</v>
      </c>
      <c r="U433" s="136" t="s">
        <v>17</v>
      </c>
      <c r="V433" s="136"/>
      <c r="W433" s="136"/>
      <c r="X433" s="263"/>
      <c r="Y433" s="1" t="str">
        <f t="shared" si="8"/>
        <v>_</v>
      </c>
      <c r="Z433" s="1" t="str">
        <f t="shared" si="9"/>
        <v>_</v>
      </c>
      <c r="AA433" s="25"/>
    </row>
    <row r="434" spans="1:27" s="16" customFormat="1" outlineLevel="1" x14ac:dyDescent="0.2">
      <c r="A434" s="31"/>
      <c r="B434" s="81"/>
      <c r="C434" s="82"/>
      <c r="D434" s="89"/>
      <c r="E434" s="91"/>
      <c r="F434" s="92"/>
      <c r="G434" s="93"/>
      <c r="H434" s="46"/>
      <c r="I434" s="42"/>
      <c r="J434" s="214"/>
      <c r="K434" s="37"/>
      <c r="L434" s="38"/>
      <c r="M434" s="38"/>
      <c r="N434" s="37"/>
      <c r="O434" s="39"/>
      <c r="P434" s="53"/>
      <c r="Q434" s="55"/>
      <c r="R434" s="137" t="s">
        <v>600</v>
      </c>
      <c r="S434" s="136" t="s">
        <v>600</v>
      </c>
      <c r="T434" s="136" t="s">
        <v>17</v>
      </c>
      <c r="U434" s="136" t="s">
        <v>17</v>
      </c>
      <c r="V434" s="136"/>
      <c r="W434" s="136"/>
      <c r="X434" s="263"/>
      <c r="Y434" s="1" t="str">
        <f t="shared" si="8"/>
        <v>_</v>
      </c>
      <c r="Z434" s="1" t="str">
        <f t="shared" si="9"/>
        <v>_</v>
      </c>
      <c r="AA434" s="25"/>
    </row>
    <row r="435" spans="1:27" s="16" customFormat="1" outlineLevel="1" x14ac:dyDescent="0.2">
      <c r="A435" s="31"/>
      <c r="B435" s="81"/>
      <c r="C435" s="82"/>
      <c r="D435" s="89"/>
      <c r="E435" s="91"/>
      <c r="F435" s="92"/>
      <c r="G435" s="93"/>
      <c r="H435" s="46"/>
      <c r="I435" s="42"/>
      <c r="J435" s="214"/>
      <c r="K435" s="37"/>
      <c r="L435" s="38"/>
      <c r="M435" s="38"/>
      <c r="N435" s="37"/>
      <c r="O435" s="39"/>
      <c r="P435" s="53"/>
      <c r="Q435" s="55"/>
      <c r="R435" s="137" t="s">
        <v>600</v>
      </c>
      <c r="S435" s="136" t="s">
        <v>600</v>
      </c>
      <c r="T435" s="136" t="s">
        <v>17</v>
      </c>
      <c r="U435" s="136" t="s">
        <v>17</v>
      </c>
      <c r="V435" s="136"/>
      <c r="W435" s="136"/>
      <c r="X435" s="263"/>
      <c r="Y435" s="1" t="str">
        <f t="shared" si="8"/>
        <v>_</v>
      </c>
      <c r="Z435" s="1" t="str">
        <f t="shared" si="9"/>
        <v>_</v>
      </c>
      <c r="AA435" s="25"/>
    </row>
    <row r="436" spans="1:27" s="16" customFormat="1" outlineLevel="1" x14ac:dyDescent="0.2">
      <c r="A436" s="31"/>
      <c r="B436" s="81"/>
      <c r="C436" s="82"/>
      <c r="D436" s="89"/>
      <c r="E436" s="91"/>
      <c r="F436" s="92"/>
      <c r="G436" s="93"/>
      <c r="H436" s="46"/>
      <c r="I436" s="42"/>
      <c r="J436" s="214"/>
      <c r="K436" s="37"/>
      <c r="L436" s="38"/>
      <c r="M436" s="38"/>
      <c r="N436" s="37"/>
      <c r="O436" s="39"/>
      <c r="P436" s="53"/>
      <c r="Q436" s="55"/>
      <c r="R436" s="137" t="s">
        <v>600</v>
      </c>
      <c r="S436" s="136" t="s">
        <v>600</v>
      </c>
      <c r="T436" s="136" t="s">
        <v>17</v>
      </c>
      <c r="U436" s="136" t="s">
        <v>17</v>
      </c>
      <c r="V436" s="136"/>
      <c r="W436" s="136"/>
      <c r="X436" s="263"/>
      <c r="Y436" s="1" t="str">
        <f t="shared" si="8"/>
        <v>_</v>
      </c>
      <c r="Z436" s="1" t="str">
        <f t="shared" si="9"/>
        <v>_</v>
      </c>
      <c r="AA436" s="25"/>
    </row>
    <row r="437" spans="1:27" s="16" customFormat="1" outlineLevel="1" x14ac:dyDescent="0.2">
      <c r="A437" s="31"/>
      <c r="B437" s="81"/>
      <c r="C437" s="82"/>
      <c r="D437" s="89"/>
      <c r="E437" s="91"/>
      <c r="F437" s="92"/>
      <c r="G437" s="93"/>
      <c r="H437" s="46"/>
      <c r="I437" s="42"/>
      <c r="J437" s="214"/>
      <c r="K437" s="37"/>
      <c r="L437" s="38"/>
      <c r="M437" s="38"/>
      <c r="N437" s="37"/>
      <c r="O437" s="39"/>
      <c r="P437" s="53"/>
      <c r="Q437" s="55"/>
      <c r="R437" s="137" t="s">
        <v>600</v>
      </c>
      <c r="S437" s="136" t="s">
        <v>600</v>
      </c>
      <c r="T437" s="136" t="s">
        <v>17</v>
      </c>
      <c r="U437" s="136" t="s">
        <v>17</v>
      </c>
      <c r="V437" s="136"/>
      <c r="W437" s="136"/>
      <c r="X437" s="263"/>
      <c r="Y437" s="1" t="str">
        <f t="shared" si="8"/>
        <v>_</v>
      </c>
      <c r="Z437" s="1" t="str">
        <f t="shared" si="9"/>
        <v>_</v>
      </c>
      <c r="AA437" s="25"/>
    </row>
    <row r="438" spans="1:27" s="16" customFormat="1" outlineLevel="1" x14ac:dyDescent="0.2">
      <c r="A438" s="31"/>
      <c r="B438" s="81"/>
      <c r="C438" s="82"/>
      <c r="D438" s="89"/>
      <c r="E438" s="91"/>
      <c r="F438" s="92"/>
      <c r="G438" s="93"/>
      <c r="H438" s="46"/>
      <c r="I438" s="42"/>
      <c r="J438" s="214"/>
      <c r="K438" s="37"/>
      <c r="L438" s="38"/>
      <c r="M438" s="38"/>
      <c r="N438" s="37"/>
      <c r="O438" s="39"/>
      <c r="P438" s="53"/>
      <c r="Q438" s="55"/>
      <c r="R438" s="137" t="s">
        <v>600</v>
      </c>
      <c r="S438" s="136" t="s">
        <v>600</v>
      </c>
      <c r="T438" s="136" t="s">
        <v>17</v>
      </c>
      <c r="U438" s="136" t="s">
        <v>17</v>
      </c>
      <c r="V438" s="136"/>
      <c r="W438" s="136"/>
      <c r="X438" s="263"/>
      <c r="Y438" s="1" t="str">
        <f t="shared" si="8"/>
        <v>_</v>
      </c>
      <c r="Z438" s="1" t="str">
        <f t="shared" si="9"/>
        <v>_</v>
      </c>
      <c r="AA438" s="25"/>
    </row>
    <row r="439" spans="1:27" s="16" customFormat="1" outlineLevel="1" x14ac:dyDescent="0.2">
      <c r="A439" s="31"/>
      <c r="B439" s="81"/>
      <c r="C439" s="82"/>
      <c r="D439" s="89"/>
      <c r="E439" s="91"/>
      <c r="F439" s="92"/>
      <c r="G439" s="93"/>
      <c r="H439" s="46"/>
      <c r="I439" s="42"/>
      <c r="J439" s="214"/>
      <c r="K439" s="37"/>
      <c r="L439" s="38"/>
      <c r="M439" s="38"/>
      <c r="N439" s="37"/>
      <c r="O439" s="39"/>
      <c r="P439" s="53"/>
      <c r="Q439" s="55"/>
      <c r="R439" s="137" t="s">
        <v>600</v>
      </c>
      <c r="S439" s="136" t="s">
        <v>600</v>
      </c>
      <c r="T439" s="136" t="s">
        <v>17</v>
      </c>
      <c r="U439" s="136" t="s">
        <v>17</v>
      </c>
      <c r="V439" s="136"/>
      <c r="W439" s="136"/>
      <c r="X439" s="263"/>
      <c r="Y439" s="1" t="str">
        <f t="shared" ref="Y439:Y497" si="10">IF(K439&lt;&gt;"",K439,IF(B439&lt;&gt;"",B439,"_"))</f>
        <v>_</v>
      </c>
      <c r="Z439" s="1" t="str">
        <f t="shared" ref="Z439:Z497" si="11">IF(M439&lt;&gt;"",M439,IF(D439&lt;&gt;"",D439,"_"))</f>
        <v>_</v>
      </c>
      <c r="AA439" s="25"/>
    </row>
    <row r="440" spans="1:27" s="16" customFormat="1" outlineLevel="1" x14ac:dyDescent="0.2">
      <c r="A440" s="31"/>
      <c r="B440" s="81"/>
      <c r="C440" s="82"/>
      <c r="D440" s="89"/>
      <c r="E440" s="91"/>
      <c r="F440" s="92"/>
      <c r="G440" s="93"/>
      <c r="H440" s="46"/>
      <c r="I440" s="42"/>
      <c r="J440" s="214"/>
      <c r="K440" s="37"/>
      <c r="L440" s="38"/>
      <c r="M440" s="38"/>
      <c r="N440" s="37"/>
      <c r="O440" s="39"/>
      <c r="P440" s="53"/>
      <c r="Q440" s="55"/>
      <c r="R440" s="137" t="s">
        <v>600</v>
      </c>
      <c r="S440" s="136" t="s">
        <v>600</v>
      </c>
      <c r="T440" s="136" t="s">
        <v>17</v>
      </c>
      <c r="U440" s="136" t="s">
        <v>17</v>
      </c>
      <c r="V440" s="136"/>
      <c r="W440" s="136"/>
      <c r="X440" s="263"/>
      <c r="Y440" s="1" t="str">
        <f t="shared" si="10"/>
        <v>_</v>
      </c>
      <c r="Z440" s="1" t="str">
        <f t="shared" si="11"/>
        <v>_</v>
      </c>
      <c r="AA440" s="25"/>
    </row>
    <row r="441" spans="1:27" s="16" customFormat="1" outlineLevel="1" x14ac:dyDescent="0.2">
      <c r="A441" s="31"/>
      <c r="B441" s="81"/>
      <c r="C441" s="82"/>
      <c r="D441" s="89"/>
      <c r="E441" s="91"/>
      <c r="F441" s="92"/>
      <c r="G441" s="93"/>
      <c r="H441" s="46"/>
      <c r="I441" s="42"/>
      <c r="J441" s="214"/>
      <c r="K441" s="37"/>
      <c r="L441" s="38"/>
      <c r="M441" s="38"/>
      <c r="N441" s="37"/>
      <c r="O441" s="39"/>
      <c r="P441" s="53"/>
      <c r="Q441" s="55"/>
      <c r="R441" s="137" t="s">
        <v>600</v>
      </c>
      <c r="S441" s="136" t="s">
        <v>600</v>
      </c>
      <c r="T441" s="136" t="s">
        <v>17</v>
      </c>
      <c r="U441" s="136" t="s">
        <v>17</v>
      </c>
      <c r="V441" s="136"/>
      <c r="W441" s="136"/>
      <c r="X441" s="263"/>
      <c r="Y441" s="1" t="str">
        <f t="shared" si="10"/>
        <v>_</v>
      </c>
      <c r="Z441" s="1" t="str">
        <f t="shared" si="11"/>
        <v>_</v>
      </c>
      <c r="AA441" s="25"/>
    </row>
    <row r="442" spans="1:27" s="16" customFormat="1" outlineLevel="1" x14ac:dyDescent="0.2">
      <c r="A442" s="31"/>
      <c r="B442" s="81"/>
      <c r="C442" s="82"/>
      <c r="D442" s="89"/>
      <c r="E442" s="91"/>
      <c r="F442" s="92"/>
      <c r="G442" s="93"/>
      <c r="H442" s="46"/>
      <c r="I442" s="42"/>
      <c r="J442" s="214"/>
      <c r="K442" s="37"/>
      <c r="L442" s="38"/>
      <c r="M442" s="38"/>
      <c r="N442" s="37"/>
      <c r="O442" s="39"/>
      <c r="P442" s="53"/>
      <c r="Q442" s="55"/>
      <c r="R442" s="137" t="s">
        <v>600</v>
      </c>
      <c r="S442" s="136" t="s">
        <v>600</v>
      </c>
      <c r="T442" s="136" t="s">
        <v>17</v>
      </c>
      <c r="U442" s="136" t="s">
        <v>17</v>
      </c>
      <c r="V442" s="136"/>
      <c r="W442" s="136"/>
      <c r="X442" s="263"/>
      <c r="Y442" s="1" t="str">
        <f t="shared" si="10"/>
        <v>_</v>
      </c>
      <c r="Z442" s="1" t="str">
        <f t="shared" si="11"/>
        <v>_</v>
      </c>
      <c r="AA442" s="25"/>
    </row>
    <row r="443" spans="1:27" s="16" customFormat="1" outlineLevel="1" x14ac:dyDescent="0.2">
      <c r="A443" s="31"/>
      <c r="B443" s="81"/>
      <c r="C443" s="82"/>
      <c r="D443" s="89"/>
      <c r="E443" s="91"/>
      <c r="F443" s="92"/>
      <c r="G443" s="93"/>
      <c r="H443" s="46"/>
      <c r="I443" s="42"/>
      <c r="J443" s="214"/>
      <c r="K443" s="37"/>
      <c r="L443" s="38"/>
      <c r="M443" s="38"/>
      <c r="N443" s="37"/>
      <c r="O443" s="39"/>
      <c r="P443" s="53"/>
      <c r="Q443" s="55"/>
      <c r="R443" s="137" t="s">
        <v>600</v>
      </c>
      <c r="S443" s="136" t="s">
        <v>600</v>
      </c>
      <c r="T443" s="136" t="s">
        <v>17</v>
      </c>
      <c r="U443" s="136" t="s">
        <v>17</v>
      </c>
      <c r="V443" s="136"/>
      <c r="W443" s="136"/>
      <c r="X443" s="263"/>
      <c r="Y443" s="1" t="str">
        <f t="shared" si="10"/>
        <v>_</v>
      </c>
      <c r="Z443" s="1" t="str">
        <f t="shared" si="11"/>
        <v>_</v>
      </c>
      <c r="AA443" s="25"/>
    </row>
    <row r="444" spans="1:27" s="16" customFormat="1" outlineLevel="1" x14ac:dyDescent="0.2">
      <c r="A444" s="31"/>
      <c r="B444" s="81"/>
      <c r="C444" s="82"/>
      <c r="D444" s="89"/>
      <c r="E444" s="91"/>
      <c r="F444" s="92"/>
      <c r="G444" s="93"/>
      <c r="H444" s="46"/>
      <c r="I444" s="42"/>
      <c r="J444" s="214"/>
      <c r="K444" s="37"/>
      <c r="L444" s="38"/>
      <c r="M444" s="38"/>
      <c r="N444" s="37"/>
      <c r="O444" s="39"/>
      <c r="P444" s="53"/>
      <c r="Q444" s="55"/>
      <c r="R444" s="137" t="s">
        <v>600</v>
      </c>
      <c r="S444" s="136" t="s">
        <v>600</v>
      </c>
      <c r="T444" s="136" t="s">
        <v>17</v>
      </c>
      <c r="U444" s="136" t="s">
        <v>17</v>
      </c>
      <c r="V444" s="136"/>
      <c r="W444" s="136"/>
      <c r="X444" s="263"/>
      <c r="Y444" s="1" t="str">
        <f t="shared" si="10"/>
        <v>_</v>
      </c>
      <c r="Z444" s="1" t="str">
        <f t="shared" si="11"/>
        <v>_</v>
      </c>
      <c r="AA444" s="25"/>
    </row>
    <row r="445" spans="1:27" s="16" customFormat="1" outlineLevel="1" x14ac:dyDescent="0.2">
      <c r="A445" s="31"/>
      <c r="B445" s="81"/>
      <c r="C445" s="82"/>
      <c r="D445" s="89"/>
      <c r="E445" s="91"/>
      <c r="F445" s="92"/>
      <c r="G445" s="93"/>
      <c r="H445" s="46"/>
      <c r="I445" s="42"/>
      <c r="J445" s="214"/>
      <c r="K445" s="37"/>
      <c r="L445" s="38"/>
      <c r="M445" s="38"/>
      <c r="N445" s="37"/>
      <c r="O445" s="39"/>
      <c r="P445" s="53"/>
      <c r="Q445" s="55"/>
      <c r="R445" s="137" t="s">
        <v>600</v>
      </c>
      <c r="S445" s="136" t="s">
        <v>600</v>
      </c>
      <c r="T445" s="136" t="s">
        <v>17</v>
      </c>
      <c r="U445" s="136" t="s">
        <v>17</v>
      </c>
      <c r="V445" s="136"/>
      <c r="W445" s="136"/>
      <c r="X445" s="263"/>
      <c r="Y445" s="1" t="str">
        <f t="shared" si="10"/>
        <v>_</v>
      </c>
      <c r="Z445" s="1" t="str">
        <f t="shared" si="11"/>
        <v>_</v>
      </c>
      <c r="AA445" s="25"/>
    </row>
    <row r="446" spans="1:27" s="16" customFormat="1" outlineLevel="1" x14ac:dyDescent="0.2">
      <c r="A446" s="31"/>
      <c r="B446" s="81"/>
      <c r="C446" s="82"/>
      <c r="D446" s="89"/>
      <c r="E446" s="91"/>
      <c r="F446" s="92"/>
      <c r="G446" s="93"/>
      <c r="H446" s="46"/>
      <c r="I446" s="42"/>
      <c r="J446" s="214"/>
      <c r="K446" s="37"/>
      <c r="L446" s="38"/>
      <c r="M446" s="38"/>
      <c r="N446" s="37"/>
      <c r="O446" s="39"/>
      <c r="P446" s="53"/>
      <c r="Q446" s="55"/>
      <c r="R446" s="137" t="s">
        <v>600</v>
      </c>
      <c r="S446" s="136" t="s">
        <v>600</v>
      </c>
      <c r="T446" s="136" t="s">
        <v>17</v>
      </c>
      <c r="U446" s="136" t="s">
        <v>17</v>
      </c>
      <c r="V446" s="136"/>
      <c r="W446" s="136"/>
      <c r="X446" s="263"/>
      <c r="Y446" s="1" t="str">
        <f t="shared" si="10"/>
        <v>_</v>
      </c>
      <c r="Z446" s="1" t="str">
        <f t="shared" si="11"/>
        <v>_</v>
      </c>
      <c r="AA446" s="25"/>
    </row>
    <row r="447" spans="1:27" s="16" customFormat="1" outlineLevel="1" x14ac:dyDescent="0.2">
      <c r="A447" s="31"/>
      <c r="B447" s="81"/>
      <c r="C447" s="82"/>
      <c r="D447" s="89"/>
      <c r="E447" s="91"/>
      <c r="F447" s="92"/>
      <c r="G447" s="93"/>
      <c r="H447" s="46"/>
      <c r="I447" s="42"/>
      <c r="J447" s="214"/>
      <c r="K447" s="37"/>
      <c r="L447" s="38"/>
      <c r="M447" s="38"/>
      <c r="N447" s="37"/>
      <c r="O447" s="39"/>
      <c r="P447" s="53"/>
      <c r="Q447" s="55"/>
      <c r="R447" s="137" t="s">
        <v>600</v>
      </c>
      <c r="S447" s="136" t="s">
        <v>600</v>
      </c>
      <c r="T447" s="136" t="s">
        <v>17</v>
      </c>
      <c r="U447" s="136" t="s">
        <v>17</v>
      </c>
      <c r="V447" s="136"/>
      <c r="W447" s="136"/>
      <c r="X447" s="263"/>
      <c r="Y447" s="1" t="str">
        <f t="shared" si="10"/>
        <v>_</v>
      </c>
      <c r="Z447" s="1" t="str">
        <f t="shared" si="11"/>
        <v>_</v>
      </c>
      <c r="AA447" s="25"/>
    </row>
    <row r="448" spans="1:27" s="16" customFormat="1" outlineLevel="1" x14ac:dyDescent="0.2">
      <c r="A448" s="31"/>
      <c r="B448" s="81"/>
      <c r="C448" s="82"/>
      <c r="D448" s="89"/>
      <c r="E448" s="91"/>
      <c r="F448" s="92"/>
      <c r="G448" s="93"/>
      <c r="H448" s="46"/>
      <c r="I448" s="42"/>
      <c r="J448" s="214"/>
      <c r="K448" s="37"/>
      <c r="L448" s="38"/>
      <c r="M448" s="38"/>
      <c r="N448" s="37"/>
      <c r="O448" s="39"/>
      <c r="P448" s="53"/>
      <c r="Q448" s="55"/>
      <c r="R448" s="137" t="s">
        <v>600</v>
      </c>
      <c r="S448" s="136" t="s">
        <v>600</v>
      </c>
      <c r="T448" s="136" t="s">
        <v>17</v>
      </c>
      <c r="U448" s="136" t="s">
        <v>17</v>
      </c>
      <c r="V448" s="136"/>
      <c r="W448" s="136"/>
      <c r="X448" s="263"/>
      <c r="Y448" s="1" t="str">
        <f t="shared" si="10"/>
        <v>_</v>
      </c>
      <c r="Z448" s="1" t="str">
        <f t="shared" si="11"/>
        <v>_</v>
      </c>
      <c r="AA448" s="25"/>
    </row>
    <row r="449" spans="1:27" s="16" customFormat="1" outlineLevel="1" x14ac:dyDescent="0.2">
      <c r="A449" s="31"/>
      <c r="B449" s="81"/>
      <c r="C449" s="82"/>
      <c r="D449" s="89"/>
      <c r="E449" s="91"/>
      <c r="F449" s="92"/>
      <c r="G449" s="93"/>
      <c r="H449" s="46"/>
      <c r="I449" s="42"/>
      <c r="J449" s="214"/>
      <c r="K449" s="37"/>
      <c r="L449" s="38"/>
      <c r="M449" s="38"/>
      <c r="N449" s="37"/>
      <c r="O449" s="39"/>
      <c r="P449" s="53"/>
      <c r="Q449" s="55"/>
      <c r="R449" s="137" t="s">
        <v>600</v>
      </c>
      <c r="S449" s="136" t="s">
        <v>600</v>
      </c>
      <c r="T449" s="136" t="s">
        <v>17</v>
      </c>
      <c r="U449" s="136" t="s">
        <v>17</v>
      </c>
      <c r="V449" s="136"/>
      <c r="W449" s="136"/>
      <c r="X449" s="263"/>
      <c r="Y449" s="1" t="str">
        <f t="shared" si="10"/>
        <v>_</v>
      </c>
      <c r="Z449" s="1" t="str">
        <f t="shared" si="11"/>
        <v>_</v>
      </c>
      <c r="AA449" s="25"/>
    </row>
    <row r="450" spans="1:27" s="16" customFormat="1" outlineLevel="1" x14ac:dyDescent="0.2">
      <c r="A450" s="31"/>
      <c r="B450" s="81"/>
      <c r="C450" s="82"/>
      <c r="D450" s="89"/>
      <c r="E450" s="91"/>
      <c r="F450" s="92"/>
      <c r="G450" s="93"/>
      <c r="H450" s="46"/>
      <c r="I450" s="42"/>
      <c r="J450" s="214"/>
      <c r="K450" s="37"/>
      <c r="L450" s="38"/>
      <c r="M450" s="38"/>
      <c r="N450" s="37"/>
      <c r="O450" s="39"/>
      <c r="P450" s="53"/>
      <c r="Q450" s="55"/>
      <c r="R450" s="137" t="s">
        <v>600</v>
      </c>
      <c r="S450" s="136" t="s">
        <v>600</v>
      </c>
      <c r="T450" s="136" t="s">
        <v>17</v>
      </c>
      <c r="U450" s="136" t="s">
        <v>17</v>
      </c>
      <c r="V450" s="136"/>
      <c r="W450" s="136"/>
      <c r="X450" s="263"/>
      <c r="Y450" s="1" t="str">
        <f t="shared" si="10"/>
        <v>_</v>
      </c>
      <c r="Z450" s="1" t="str">
        <f t="shared" si="11"/>
        <v>_</v>
      </c>
      <c r="AA450" s="25"/>
    </row>
    <row r="451" spans="1:27" s="16" customFormat="1" outlineLevel="1" x14ac:dyDescent="0.2">
      <c r="A451" s="31"/>
      <c r="B451" s="81"/>
      <c r="C451" s="82"/>
      <c r="D451" s="89"/>
      <c r="E451" s="91"/>
      <c r="F451" s="92"/>
      <c r="G451" s="93"/>
      <c r="H451" s="46"/>
      <c r="I451" s="42"/>
      <c r="J451" s="214"/>
      <c r="K451" s="37"/>
      <c r="L451" s="38"/>
      <c r="M451" s="38"/>
      <c r="N451" s="37"/>
      <c r="O451" s="39"/>
      <c r="P451" s="53"/>
      <c r="Q451" s="55"/>
      <c r="R451" s="137" t="s">
        <v>600</v>
      </c>
      <c r="S451" s="136" t="s">
        <v>600</v>
      </c>
      <c r="T451" s="136" t="s">
        <v>17</v>
      </c>
      <c r="U451" s="136" t="s">
        <v>17</v>
      </c>
      <c r="V451" s="136"/>
      <c r="W451" s="136"/>
      <c r="X451" s="263"/>
      <c r="Y451" s="1" t="str">
        <f t="shared" si="10"/>
        <v>_</v>
      </c>
      <c r="Z451" s="1" t="str">
        <f t="shared" si="11"/>
        <v>_</v>
      </c>
      <c r="AA451" s="25"/>
    </row>
    <row r="452" spans="1:27" s="16" customFormat="1" outlineLevel="1" x14ac:dyDescent="0.2">
      <c r="A452" s="31"/>
      <c r="B452" s="81"/>
      <c r="C452" s="82"/>
      <c r="D452" s="89"/>
      <c r="E452" s="91"/>
      <c r="F452" s="92"/>
      <c r="G452" s="93"/>
      <c r="H452" s="46"/>
      <c r="I452" s="42"/>
      <c r="J452" s="214"/>
      <c r="K452" s="37"/>
      <c r="L452" s="38"/>
      <c r="M452" s="38"/>
      <c r="N452" s="37"/>
      <c r="O452" s="39"/>
      <c r="P452" s="53"/>
      <c r="Q452" s="55"/>
      <c r="R452" s="137" t="s">
        <v>600</v>
      </c>
      <c r="S452" s="136" t="s">
        <v>600</v>
      </c>
      <c r="T452" s="136" t="s">
        <v>17</v>
      </c>
      <c r="U452" s="136" t="s">
        <v>17</v>
      </c>
      <c r="V452" s="136"/>
      <c r="W452" s="136"/>
      <c r="X452" s="263"/>
      <c r="Y452" s="1" t="str">
        <f t="shared" si="10"/>
        <v>_</v>
      </c>
      <c r="Z452" s="1" t="str">
        <f t="shared" si="11"/>
        <v>_</v>
      </c>
      <c r="AA452" s="25"/>
    </row>
    <row r="453" spans="1:27" s="16" customFormat="1" outlineLevel="1" x14ac:dyDescent="0.2">
      <c r="A453" s="31"/>
      <c r="B453" s="81"/>
      <c r="C453" s="82"/>
      <c r="D453" s="89"/>
      <c r="E453" s="91"/>
      <c r="F453" s="92"/>
      <c r="G453" s="93"/>
      <c r="H453" s="46"/>
      <c r="I453" s="42"/>
      <c r="J453" s="214"/>
      <c r="K453" s="37"/>
      <c r="L453" s="38"/>
      <c r="M453" s="38"/>
      <c r="N453" s="37"/>
      <c r="O453" s="39"/>
      <c r="P453" s="53"/>
      <c r="Q453" s="55"/>
      <c r="R453" s="137" t="s">
        <v>600</v>
      </c>
      <c r="S453" s="136" t="s">
        <v>600</v>
      </c>
      <c r="T453" s="136" t="s">
        <v>17</v>
      </c>
      <c r="U453" s="136" t="s">
        <v>17</v>
      </c>
      <c r="V453" s="136"/>
      <c r="W453" s="136"/>
      <c r="X453" s="263"/>
      <c r="Y453" s="1" t="str">
        <f t="shared" si="10"/>
        <v>_</v>
      </c>
      <c r="Z453" s="1" t="str">
        <f t="shared" si="11"/>
        <v>_</v>
      </c>
      <c r="AA453" s="25"/>
    </row>
    <row r="454" spans="1:27" s="16" customFormat="1" outlineLevel="1" x14ac:dyDescent="0.2">
      <c r="A454" s="31"/>
      <c r="B454" s="81"/>
      <c r="C454" s="82"/>
      <c r="D454" s="89"/>
      <c r="E454" s="91"/>
      <c r="F454" s="92"/>
      <c r="G454" s="93"/>
      <c r="H454" s="46"/>
      <c r="I454" s="42"/>
      <c r="J454" s="214"/>
      <c r="K454" s="37"/>
      <c r="L454" s="38"/>
      <c r="M454" s="38"/>
      <c r="N454" s="37"/>
      <c r="O454" s="39"/>
      <c r="P454" s="53"/>
      <c r="Q454" s="55"/>
      <c r="R454" s="137" t="s">
        <v>600</v>
      </c>
      <c r="S454" s="136" t="s">
        <v>600</v>
      </c>
      <c r="T454" s="136" t="s">
        <v>17</v>
      </c>
      <c r="U454" s="136" t="s">
        <v>17</v>
      </c>
      <c r="V454" s="136"/>
      <c r="W454" s="136"/>
      <c r="X454" s="263"/>
      <c r="Y454" s="1" t="str">
        <f t="shared" si="10"/>
        <v>_</v>
      </c>
      <c r="Z454" s="1" t="str">
        <f t="shared" si="11"/>
        <v>_</v>
      </c>
      <c r="AA454" s="25"/>
    </row>
    <row r="455" spans="1:27" s="16" customFormat="1" outlineLevel="1" x14ac:dyDescent="0.2">
      <c r="A455" s="31"/>
      <c r="B455" s="81"/>
      <c r="C455" s="82"/>
      <c r="D455" s="89"/>
      <c r="E455" s="91"/>
      <c r="F455" s="92"/>
      <c r="G455" s="93"/>
      <c r="H455" s="46"/>
      <c r="I455" s="42"/>
      <c r="J455" s="214"/>
      <c r="K455" s="37"/>
      <c r="L455" s="38"/>
      <c r="M455" s="38"/>
      <c r="N455" s="37"/>
      <c r="O455" s="39"/>
      <c r="P455" s="53"/>
      <c r="Q455" s="55"/>
      <c r="R455" s="137" t="s">
        <v>600</v>
      </c>
      <c r="S455" s="136" t="s">
        <v>600</v>
      </c>
      <c r="T455" s="136" t="s">
        <v>17</v>
      </c>
      <c r="U455" s="136" t="s">
        <v>17</v>
      </c>
      <c r="V455" s="136"/>
      <c r="W455" s="136"/>
      <c r="X455" s="263"/>
      <c r="Y455" s="1" t="str">
        <f t="shared" si="10"/>
        <v>_</v>
      </c>
      <c r="Z455" s="1" t="str">
        <f t="shared" si="11"/>
        <v>_</v>
      </c>
      <c r="AA455" s="25"/>
    </row>
    <row r="456" spans="1:27" s="16" customFormat="1" outlineLevel="1" x14ac:dyDescent="0.2">
      <c r="A456" s="31"/>
      <c r="B456" s="81"/>
      <c r="C456" s="82"/>
      <c r="D456" s="89"/>
      <c r="E456" s="91"/>
      <c r="F456" s="92"/>
      <c r="G456" s="93"/>
      <c r="H456" s="46"/>
      <c r="I456" s="42"/>
      <c r="J456" s="214"/>
      <c r="K456" s="37"/>
      <c r="L456" s="38"/>
      <c r="M456" s="38"/>
      <c r="N456" s="37"/>
      <c r="O456" s="39"/>
      <c r="P456" s="53"/>
      <c r="Q456" s="55"/>
      <c r="R456" s="137" t="s">
        <v>600</v>
      </c>
      <c r="S456" s="136" t="s">
        <v>600</v>
      </c>
      <c r="T456" s="136" t="s">
        <v>17</v>
      </c>
      <c r="U456" s="136" t="s">
        <v>17</v>
      </c>
      <c r="V456" s="136"/>
      <c r="W456" s="136"/>
      <c r="X456" s="263"/>
      <c r="Y456" s="1" t="str">
        <f t="shared" si="10"/>
        <v>_</v>
      </c>
      <c r="Z456" s="1" t="str">
        <f t="shared" si="11"/>
        <v>_</v>
      </c>
      <c r="AA456" s="25"/>
    </row>
    <row r="457" spans="1:27" s="16" customFormat="1" outlineLevel="1" x14ac:dyDescent="0.2">
      <c r="A457" s="31"/>
      <c r="B457" s="81"/>
      <c r="C457" s="82"/>
      <c r="D457" s="89"/>
      <c r="E457" s="91"/>
      <c r="F457" s="92"/>
      <c r="G457" s="93"/>
      <c r="H457" s="46"/>
      <c r="I457" s="42"/>
      <c r="J457" s="214"/>
      <c r="K457" s="37"/>
      <c r="L457" s="38"/>
      <c r="M457" s="38"/>
      <c r="N457" s="37"/>
      <c r="O457" s="39"/>
      <c r="P457" s="53"/>
      <c r="Q457" s="55"/>
      <c r="R457" s="137" t="s">
        <v>600</v>
      </c>
      <c r="S457" s="136" t="s">
        <v>600</v>
      </c>
      <c r="T457" s="136" t="s">
        <v>17</v>
      </c>
      <c r="U457" s="136" t="s">
        <v>17</v>
      </c>
      <c r="V457" s="136"/>
      <c r="W457" s="136"/>
      <c r="X457" s="263"/>
      <c r="Y457" s="1" t="str">
        <f t="shared" si="10"/>
        <v>_</v>
      </c>
      <c r="Z457" s="1" t="str">
        <f t="shared" si="11"/>
        <v>_</v>
      </c>
      <c r="AA457" s="25"/>
    </row>
    <row r="458" spans="1:27" s="16" customFormat="1" outlineLevel="1" x14ac:dyDescent="0.2">
      <c r="A458" s="31"/>
      <c r="B458" s="81"/>
      <c r="C458" s="82"/>
      <c r="D458" s="89"/>
      <c r="E458" s="91"/>
      <c r="F458" s="92"/>
      <c r="G458" s="93"/>
      <c r="H458" s="46"/>
      <c r="I458" s="42"/>
      <c r="J458" s="214"/>
      <c r="K458" s="37"/>
      <c r="L458" s="38"/>
      <c r="M458" s="38"/>
      <c r="N458" s="37"/>
      <c r="O458" s="39"/>
      <c r="P458" s="53"/>
      <c r="Q458" s="55"/>
      <c r="R458" s="137" t="s">
        <v>600</v>
      </c>
      <c r="S458" s="136" t="s">
        <v>600</v>
      </c>
      <c r="T458" s="136" t="s">
        <v>17</v>
      </c>
      <c r="U458" s="136" t="s">
        <v>17</v>
      </c>
      <c r="V458" s="136"/>
      <c r="W458" s="136"/>
      <c r="X458" s="263"/>
      <c r="Y458" s="1" t="str">
        <f t="shared" si="10"/>
        <v>_</v>
      </c>
      <c r="Z458" s="1" t="str">
        <f t="shared" si="11"/>
        <v>_</v>
      </c>
      <c r="AA458" s="25"/>
    </row>
    <row r="459" spans="1:27" s="16" customFormat="1" outlineLevel="1" x14ac:dyDescent="0.2">
      <c r="A459" s="31"/>
      <c r="B459" s="81"/>
      <c r="C459" s="82"/>
      <c r="D459" s="89"/>
      <c r="E459" s="91"/>
      <c r="F459" s="92"/>
      <c r="G459" s="93"/>
      <c r="H459" s="46"/>
      <c r="I459" s="42"/>
      <c r="J459" s="214"/>
      <c r="K459" s="37"/>
      <c r="L459" s="38"/>
      <c r="M459" s="38"/>
      <c r="N459" s="37"/>
      <c r="O459" s="39"/>
      <c r="P459" s="53"/>
      <c r="Q459" s="55"/>
      <c r="R459" s="137" t="s">
        <v>600</v>
      </c>
      <c r="S459" s="136" t="s">
        <v>600</v>
      </c>
      <c r="T459" s="136" t="s">
        <v>17</v>
      </c>
      <c r="U459" s="136" t="s">
        <v>17</v>
      </c>
      <c r="V459" s="136"/>
      <c r="W459" s="136"/>
      <c r="X459" s="263"/>
      <c r="Y459" s="1" t="str">
        <f t="shared" si="10"/>
        <v>_</v>
      </c>
      <c r="Z459" s="1" t="str">
        <f t="shared" si="11"/>
        <v>_</v>
      </c>
      <c r="AA459" s="25"/>
    </row>
    <row r="460" spans="1:27" s="16" customFormat="1" outlineLevel="1" x14ac:dyDescent="0.2">
      <c r="A460" s="31"/>
      <c r="B460" s="81"/>
      <c r="C460" s="82"/>
      <c r="D460" s="89"/>
      <c r="E460" s="91"/>
      <c r="F460" s="92"/>
      <c r="G460" s="93"/>
      <c r="H460" s="46"/>
      <c r="I460" s="42"/>
      <c r="J460" s="214"/>
      <c r="K460" s="37"/>
      <c r="L460" s="38"/>
      <c r="M460" s="38"/>
      <c r="N460" s="37"/>
      <c r="O460" s="39"/>
      <c r="P460" s="53"/>
      <c r="Q460" s="55"/>
      <c r="R460" s="137" t="s">
        <v>600</v>
      </c>
      <c r="S460" s="136" t="s">
        <v>600</v>
      </c>
      <c r="T460" s="136" t="s">
        <v>17</v>
      </c>
      <c r="U460" s="136" t="s">
        <v>17</v>
      </c>
      <c r="V460" s="136"/>
      <c r="W460" s="136"/>
      <c r="X460" s="263"/>
      <c r="Y460" s="1" t="str">
        <f t="shared" si="10"/>
        <v>_</v>
      </c>
      <c r="Z460" s="1" t="str">
        <f t="shared" si="11"/>
        <v>_</v>
      </c>
      <c r="AA460" s="25"/>
    </row>
    <row r="461" spans="1:27" s="16" customFormat="1" outlineLevel="1" x14ac:dyDescent="0.2">
      <c r="A461" s="31"/>
      <c r="B461" s="81"/>
      <c r="C461" s="82"/>
      <c r="D461" s="89"/>
      <c r="E461" s="91"/>
      <c r="F461" s="92"/>
      <c r="G461" s="93"/>
      <c r="H461" s="46"/>
      <c r="I461" s="42"/>
      <c r="J461" s="214"/>
      <c r="K461" s="37"/>
      <c r="L461" s="38"/>
      <c r="M461" s="38"/>
      <c r="N461" s="37"/>
      <c r="O461" s="39"/>
      <c r="P461" s="53"/>
      <c r="Q461" s="55"/>
      <c r="R461" s="137" t="s">
        <v>600</v>
      </c>
      <c r="S461" s="136" t="s">
        <v>600</v>
      </c>
      <c r="T461" s="136" t="s">
        <v>17</v>
      </c>
      <c r="U461" s="136" t="s">
        <v>17</v>
      </c>
      <c r="V461" s="136"/>
      <c r="W461" s="136"/>
      <c r="X461" s="263"/>
      <c r="Y461" s="1" t="str">
        <f t="shared" si="10"/>
        <v>_</v>
      </c>
      <c r="Z461" s="1" t="str">
        <f t="shared" si="11"/>
        <v>_</v>
      </c>
      <c r="AA461" s="25"/>
    </row>
    <row r="462" spans="1:27" s="16" customFormat="1" outlineLevel="1" x14ac:dyDescent="0.2">
      <c r="A462" s="31"/>
      <c r="B462" s="81"/>
      <c r="C462" s="82"/>
      <c r="D462" s="89"/>
      <c r="E462" s="91"/>
      <c r="F462" s="92"/>
      <c r="G462" s="93"/>
      <c r="H462" s="46"/>
      <c r="I462" s="42"/>
      <c r="J462" s="214"/>
      <c r="K462" s="37"/>
      <c r="L462" s="38"/>
      <c r="M462" s="38"/>
      <c r="N462" s="37"/>
      <c r="O462" s="39"/>
      <c r="P462" s="53"/>
      <c r="Q462" s="55"/>
      <c r="R462" s="137" t="s">
        <v>600</v>
      </c>
      <c r="S462" s="136" t="s">
        <v>600</v>
      </c>
      <c r="T462" s="136" t="s">
        <v>17</v>
      </c>
      <c r="U462" s="136" t="s">
        <v>17</v>
      </c>
      <c r="V462" s="136"/>
      <c r="W462" s="136"/>
      <c r="X462" s="263"/>
      <c r="Y462" s="1" t="str">
        <f t="shared" si="10"/>
        <v>_</v>
      </c>
      <c r="Z462" s="1" t="str">
        <f t="shared" si="11"/>
        <v>_</v>
      </c>
      <c r="AA462" s="25"/>
    </row>
    <row r="463" spans="1:27" s="16" customFormat="1" outlineLevel="1" x14ac:dyDescent="0.2">
      <c r="A463" s="31"/>
      <c r="B463" s="81"/>
      <c r="C463" s="82"/>
      <c r="D463" s="89"/>
      <c r="E463" s="91"/>
      <c r="F463" s="92"/>
      <c r="G463" s="93"/>
      <c r="H463" s="46"/>
      <c r="I463" s="42"/>
      <c r="J463" s="214"/>
      <c r="K463" s="37"/>
      <c r="L463" s="38"/>
      <c r="M463" s="38"/>
      <c r="N463" s="37"/>
      <c r="O463" s="39"/>
      <c r="P463" s="53"/>
      <c r="Q463" s="55"/>
      <c r="R463" s="137" t="s">
        <v>600</v>
      </c>
      <c r="S463" s="136" t="s">
        <v>600</v>
      </c>
      <c r="T463" s="136" t="s">
        <v>17</v>
      </c>
      <c r="U463" s="136" t="s">
        <v>17</v>
      </c>
      <c r="V463" s="136"/>
      <c r="W463" s="136"/>
      <c r="X463" s="263"/>
      <c r="Y463" s="1" t="str">
        <f t="shared" si="10"/>
        <v>_</v>
      </c>
      <c r="Z463" s="1" t="str">
        <f t="shared" si="11"/>
        <v>_</v>
      </c>
      <c r="AA463" s="25"/>
    </row>
    <row r="464" spans="1:27" s="16" customFormat="1" outlineLevel="1" x14ac:dyDescent="0.2">
      <c r="A464" s="31"/>
      <c r="B464" s="81"/>
      <c r="C464" s="82"/>
      <c r="D464" s="89"/>
      <c r="E464" s="91"/>
      <c r="F464" s="92"/>
      <c r="G464" s="93"/>
      <c r="H464" s="46"/>
      <c r="I464" s="42"/>
      <c r="J464" s="214"/>
      <c r="K464" s="37"/>
      <c r="L464" s="38"/>
      <c r="M464" s="38"/>
      <c r="N464" s="37"/>
      <c r="O464" s="39"/>
      <c r="P464" s="53"/>
      <c r="Q464" s="55"/>
      <c r="R464" s="137" t="s">
        <v>600</v>
      </c>
      <c r="S464" s="136" t="s">
        <v>600</v>
      </c>
      <c r="T464" s="136" t="s">
        <v>17</v>
      </c>
      <c r="U464" s="136" t="s">
        <v>17</v>
      </c>
      <c r="V464" s="136"/>
      <c r="W464" s="136"/>
      <c r="X464" s="263"/>
      <c r="Y464" s="1" t="str">
        <f t="shared" si="10"/>
        <v>_</v>
      </c>
      <c r="Z464" s="1" t="str">
        <f t="shared" si="11"/>
        <v>_</v>
      </c>
      <c r="AA464" s="25"/>
    </row>
    <row r="465" spans="1:27" s="16" customFormat="1" outlineLevel="1" x14ac:dyDescent="0.2">
      <c r="A465" s="31"/>
      <c r="B465" s="81"/>
      <c r="C465" s="82"/>
      <c r="D465" s="89"/>
      <c r="E465" s="91"/>
      <c r="F465" s="92"/>
      <c r="G465" s="93"/>
      <c r="H465" s="46"/>
      <c r="I465" s="42"/>
      <c r="J465" s="214"/>
      <c r="K465" s="37"/>
      <c r="L465" s="38"/>
      <c r="M465" s="38"/>
      <c r="N465" s="37"/>
      <c r="O465" s="39"/>
      <c r="P465" s="53"/>
      <c r="Q465" s="55"/>
      <c r="R465" s="137" t="s">
        <v>600</v>
      </c>
      <c r="S465" s="136" t="s">
        <v>600</v>
      </c>
      <c r="T465" s="136" t="s">
        <v>17</v>
      </c>
      <c r="U465" s="136" t="s">
        <v>17</v>
      </c>
      <c r="V465" s="136"/>
      <c r="W465" s="136"/>
      <c r="X465" s="263"/>
      <c r="Y465" s="1" t="str">
        <f t="shared" si="10"/>
        <v>_</v>
      </c>
      <c r="Z465" s="1" t="str">
        <f t="shared" si="11"/>
        <v>_</v>
      </c>
      <c r="AA465" s="25"/>
    </row>
    <row r="466" spans="1:27" s="16" customFormat="1" outlineLevel="1" x14ac:dyDescent="0.2">
      <c r="A466" s="31"/>
      <c r="B466" s="81"/>
      <c r="C466" s="82"/>
      <c r="D466" s="89"/>
      <c r="E466" s="91"/>
      <c r="F466" s="92"/>
      <c r="G466" s="93"/>
      <c r="H466" s="46"/>
      <c r="I466" s="42"/>
      <c r="J466" s="214"/>
      <c r="K466" s="37"/>
      <c r="L466" s="38"/>
      <c r="M466" s="38"/>
      <c r="N466" s="37"/>
      <c r="O466" s="39"/>
      <c r="P466" s="53"/>
      <c r="Q466" s="55"/>
      <c r="R466" s="137" t="s">
        <v>600</v>
      </c>
      <c r="S466" s="136" t="s">
        <v>600</v>
      </c>
      <c r="T466" s="136" t="s">
        <v>17</v>
      </c>
      <c r="U466" s="136" t="s">
        <v>17</v>
      </c>
      <c r="V466" s="136"/>
      <c r="W466" s="136"/>
      <c r="X466" s="263"/>
      <c r="Y466" s="1" t="str">
        <f t="shared" si="10"/>
        <v>_</v>
      </c>
      <c r="Z466" s="1" t="str">
        <f t="shared" si="11"/>
        <v>_</v>
      </c>
      <c r="AA466" s="25"/>
    </row>
    <row r="467" spans="1:27" s="16" customFormat="1" outlineLevel="1" x14ac:dyDescent="0.2">
      <c r="A467" s="31"/>
      <c r="B467" s="81"/>
      <c r="C467" s="82"/>
      <c r="D467" s="89"/>
      <c r="E467" s="91"/>
      <c r="F467" s="92"/>
      <c r="G467" s="93"/>
      <c r="H467" s="46"/>
      <c r="I467" s="42"/>
      <c r="J467" s="214"/>
      <c r="K467" s="37"/>
      <c r="L467" s="38"/>
      <c r="M467" s="38"/>
      <c r="N467" s="37"/>
      <c r="O467" s="39"/>
      <c r="P467" s="53"/>
      <c r="Q467" s="55"/>
      <c r="R467" s="137" t="s">
        <v>600</v>
      </c>
      <c r="S467" s="136" t="s">
        <v>600</v>
      </c>
      <c r="T467" s="136" t="s">
        <v>17</v>
      </c>
      <c r="U467" s="136" t="s">
        <v>17</v>
      </c>
      <c r="V467" s="136"/>
      <c r="W467" s="136"/>
      <c r="X467" s="263"/>
      <c r="Y467" s="1" t="str">
        <f t="shared" si="10"/>
        <v>_</v>
      </c>
      <c r="Z467" s="1" t="str">
        <f t="shared" si="11"/>
        <v>_</v>
      </c>
      <c r="AA467" s="25"/>
    </row>
    <row r="468" spans="1:27" s="16" customFormat="1" outlineLevel="1" x14ac:dyDescent="0.2">
      <c r="A468" s="31"/>
      <c r="B468" s="81"/>
      <c r="C468" s="82"/>
      <c r="D468" s="89"/>
      <c r="E468" s="91"/>
      <c r="F468" s="92"/>
      <c r="G468" s="93"/>
      <c r="H468" s="46"/>
      <c r="I468" s="42"/>
      <c r="J468" s="214"/>
      <c r="K468" s="37"/>
      <c r="L468" s="38"/>
      <c r="M468" s="38"/>
      <c r="N468" s="37"/>
      <c r="O468" s="39"/>
      <c r="P468" s="53"/>
      <c r="Q468" s="55"/>
      <c r="R468" s="137" t="s">
        <v>600</v>
      </c>
      <c r="S468" s="136" t="s">
        <v>600</v>
      </c>
      <c r="T468" s="136" t="s">
        <v>17</v>
      </c>
      <c r="U468" s="136" t="s">
        <v>17</v>
      </c>
      <c r="V468" s="136"/>
      <c r="W468" s="136"/>
      <c r="X468" s="263"/>
      <c r="Y468" s="1" t="str">
        <f t="shared" si="10"/>
        <v>_</v>
      </c>
      <c r="Z468" s="1" t="str">
        <f t="shared" si="11"/>
        <v>_</v>
      </c>
      <c r="AA468" s="25"/>
    </row>
    <row r="469" spans="1:27" s="16" customFormat="1" outlineLevel="1" x14ac:dyDescent="0.2">
      <c r="A469" s="31"/>
      <c r="B469" s="81"/>
      <c r="C469" s="82"/>
      <c r="D469" s="89"/>
      <c r="E469" s="91"/>
      <c r="F469" s="92"/>
      <c r="G469" s="93"/>
      <c r="H469" s="46"/>
      <c r="I469" s="42"/>
      <c r="J469" s="214"/>
      <c r="K469" s="37"/>
      <c r="L469" s="38"/>
      <c r="M469" s="38"/>
      <c r="N469" s="37"/>
      <c r="O469" s="39"/>
      <c r="P469" s="53"/>
      <c r="Q469" s="55"/>
      <c r="R469" s="137" t="s">
        <v>600</v>
      </c>
      <c r="S469" s="136" t="s">
        <v>600</v>
      </c>
      <c r="T469" s="136" t="s">
        <v>17</v>
      </c>
      <c r="U469" s="136" t="s">
        <v>17</v>
      </c>
      <c r="V469" s="136"/>
      <c r="W469" s="136"/>
      <c r="X469" s="263"/>
      <c r="Y469" s="1" t="str">
        <f t="shared" si="10"/>
        <v>_</v>
      </c>
      <c r="Z469" s="1" t="str">
        <f t="shared" si="11"/>
        <v>_</v>
      </c>
      <c r="AA469" s="25"/>
    </row>
    <row r="470" spans="1:27" s="16" customFormat="1" outlineLevel="1" x14ac:dyDescent="0.2">
      <c r="A470" s="31"/>
      <c r="B470" s="81"/>
      <c r="C470" s="82"/>
      <c r="D470" s="89"/>
      <c r="E470" s="91"/>
      <c r="F470" s="92"/>
      <c r="G470" s="93"/>
      <c r="H470" s="46"/>
      <c r="I470" s="42"/>
      <c r="J470" s="214"/>
      <c r="K470" s="37"/>
      <c r="L470" s="38"/>
      <c r="M470" s="38"/>
      <c r="N470" s="37"/>
      <c r="O470" s="39"/>
      <c r="P470" s="53"/>
      <c r="Q470" s="55"/>
      <c r="R470" s="137" t="s">
        <v>600</v>
      </c>
      <c r="S470" s="136" t="s">
        <v>600</v>
      </c>
      <c r="T470" s="136" t="s">
        <v>17</v>
      </c>
      <c r="U470" s="136" t="s">
        <v>17</v>
      </c>
      <c r="V470" s="136"/>
      <c r="W470" s="136"/>
      <c r="X470" s="263"/>
      <c r="Y470" s="1" t="str">
        <f t="shared" si="10"/>
        <v>_</v>
      </c>
      <c r="Z470" s="1" t="str">
        <f t="shared" si="11"/>
        <v>_</v>
      </c>
      <c r="AA470" s="25"/>
    </row>
    <row r="471" spans="1:27" s="16" customFormat="1" outlineLevel="1" x14ac:dyDescent="0.2">
      <c r="A471" s="31"/>
      <c r="B471" s="81"/>
      <c r="C471" s="82"/>
      <c r="D471" s="89"/>
      <c r="E471" s="91"/>
      <c r="F471" s="92"/>
      <c r="G471" s="93"/>
      <c r="H471" s="46"/>
      <c r="I471" s="42"/>
      <c r="J471" s="214"/>
      <c r="K471" s="37"/>
      <c r="L471" s="38"/>
      <c r="M471" s="38"/>
      <c r="N471" s="37"/>
      <c r="O471" s="39"/>
      <c r="P471" s="53"/>
      <c r="Q471" s="55"/>
      <c r="R471" s="137" t="s">
        <v>600</v>
      </c>
      <c r="S471" s="136" t="s">
        <v>600</v>
      </c>
      <c r="T471" s="136" t="s">
        <v>17</v>
      </c>
      <c r="U471" s="136" t="s">
        <v>17</v>
      </c>
      <c r="V471" s="136"/>
      <c r="W471" s="136"/>
      <c r="X471" s="263"/>
      <c r="Y471" s="1" t="str">
        <f t="shared" si="10"/>
        <v>_</v>
      </c>
      <c r="Z471" s="1" t="str">
        <f t="shared" si="11"/>
        <v>_</v>
      </c>
      <c r="AA471" s="25"/>
    </row>
    <row r="472" spans="1:27" s="16" customFormat="1" outlineLevel="1" x14ac:dyDescent="0.2">
      <c r="A472" s="31"/>
      <c r="B472" s="81"/>
      <c r="C472" s="82"/>
      <c r="D472" s="89"/>
      <c r="E472" s="91"/>
      <c r="F472" s="92"/>
      <c r="G472" s="93"/>
      <c r="H472" s="46"/>
      <c r="I472" s="42"/>
      <c r="J472" s="214"/>
      <c r="K472" s="37"/>
      <c r="L472" s="38"/>
      <c r="M472" s="38"/>
      <c r="N472" s="37"/>
      <c r="O472" s="39"/>
      <c r="P472" s="53"/>
      <c r="Q472" s="55"/>
      <c r="R472" s="137" t="s">
        <v>600</v>
      </c>
      <c r="S472" s="136" t="s">
        <v>600</v>
      </c>
      <c r="T472" s="136" t="s">
        <v>17</v>
      </c>
      <c r="U472" s="136" t="s">
        <v>17</v>
      </c>
      <c r="V472" s="136"/>
      <c r="W472" s="136"/>
      <c r="X472" s="263"/>
      <c r="Y472" s="1" t="str">
        <f t="shared" si="10"/>
        <v>_</v>
      </c>
      <c r="Z472" s="1" t="str">
        <f t="shared" si="11"/>
        <v>_</v>
      </c>
      <c r="AA472" s="25"/>
    </row>
    <row r="473" spans="1:27" s="16" customFormat="1" outlineLevel="1" x14ac:dyDescent="0.2">
      <c r="A473" s="31"/>
      <c r="B473" s="81"/>
      <c r="C473" s="82"/>
      <c r="D473" s="89"/>
      <c r="E473" s="91"/>
      <c r="F473" s="92"/>
      <c r="G473" s="93"/>
      <c r="H473" s="46"/>
      <c r="I473" s="42"/>
      <c r="J473" s="214"/>
      <c r="K473" s="37"/>
      <c r="L473" s="38"/>
      <c r="M473" s="38"/>
      <c r="N473" s="37"/>
      <c r="O473" s="39"/>
      <c r="P473" s="53"/>
      <c r="Q473" s="55"/>
      <c r="R473" s="137" t="s">
        <v>600</v>
      </c>
      <c r="S473" s="136" t="s">
        <v>600</v>
      </c>
      <c r="T473" s="136" t="s">
        <v>17</v>
      </c>
      <c r="U473" s="136" t="s">
        <v>17</v>
      </c>
      <c r="V473" s="136"/>
      <c r="W473" s="136"/>
      <c r="X473" s="263"/>
      <c r="Y473" s="1" t="str">
        <f t="shared" si="10"/>
        <v>_</v>
      </c>
      <c r="Z473" s="1" t="str">
        <f t="shared" si="11"/>
        <v>_</v>
      </c>
      <c r="AA473" s="25"/>
    </row>
    <row r="474" spans="1:27" s="16" customFormat="1" outlineLevel="1" x14ac:dyDescent="0.2">
      <c r="A474" s="31"/>
      <c r="B474" s="81"/>
      <c r="C474" s="82"/>
      <c r="D474" s="89"/>
      <c r="E474" s="91"/>
      <c r="F474" s="92"/>
      <c r="G474" s="93"/>
      <c r="H474" s="46"/>
      <c r="I474" s="42"/>
      <c r="J474" s="214"/>
      <c r="K474" s="37"/>
      <c r="L474" s="38"/>
      <c r="M474" s="38"/>
      <c r="N474" s="37"/>
      <c r="O474" s="39"/>
      <c r="P474" s="53"/>
      <c r="Q474" s="55"/>
      <c r="R474" s="137" t="s">
        <v>600</v>
      </c>
      <c r="S474" s="136" t="s">
        <v>600</v>
      </c>
      <c r="T474" s="136" t="s">
        <v>17</v>
      </c>
      <c r="U474" s="136" t="s">
        <v>17</v>
      </c>
      <c r="V474" s="136"/>
      <c r="W474" s="136"/>
      <c r="X474" s="263"/>
      <c r="Y474" s="1" t="str">
        <f t="shared" si="10"/>
        <v>_</v>
      </c>
      <c r="Z474" s="1" t="str">
        <f t="shared" si="11"/>
        <v>_</v>
      </c>
      <c r="AA474" s="25"/>
    </row>
    <row r="475" spans="1:27" s="16" customFormat="1" outlineLevel="1" x14ac:dyDescent="0.2">
      <c r="A475" s="31"/>
      <c r="B475" s="81"/>
      <c r="C475" s="82"/>
      <c r="D475" s="89"/>
      <c r="E475" s="91"/>
      <c r="F475" s="92"/>
      <c r="G475" s="93"/>
      <c r="H475" s="46"/>
      <c r="I475" s="42"/>
      <c r="J475" s="214"/>
      <c r="K475" s="37"/>
      <c r="L475" s="38"/>
      <c r="M475" s="38"/>
      <c r="N475" s="37"/>
      <c r="O475" s="39"/>
      <c r="P475" s="53"/>
      <c r="Q475" s="55"/>
      <c r="R475" s="137" t="s">
        <v>600</v>
      </c>
      <c r="S475" s="136" t="s">
        <v>600</v>
      </c>
      <c r="T475" s="136" t="s">
        <v>17</v>
      </c>
      <c r="U475" s="136" t="s">
        <v>17</v>
      </c>
      <c r="V475" s="136"/>
      <c r="W475" s="136"/>
      <c r="X475" s="263"/>
      <c r="Y475" s="1" t="str">
        <f t="shared" si="10"/>
        <v>_</v>
      </c>
      <c r="Z475" s="1" t="str">
        <f t="shared" si="11"/>
        <v>_</v>
      </c>
      <c r="AA475" s="25"/>
    </row>
    <row r="476" spans="1:27" s="16" customFormat="1" outlineLevel="1" x14ac:dyDescent="0.2">
      <c r="A476" s="31"/>
      <c r="B476" s="81"/>
      <c r="C476" s="82"/>
      <c r="D476" s="89"/>
      <c r="E476" s="91"/>
      <c r="F476" s="92"/>
      <c r="G476" s="93"/>
      <c r="H476" s="46"/>
      <c r="I476" s="42"/>
      <c r="J476" s="214"/>
      <c r="K476" s="37"/>
      <c r="L476" s="38"/>
      <c r="M476" s="38"/>
      <c r="N476" s="37"/>
      <c r="O476" s="39"/>
      <c r="P476" s="53"/>
      <c r="Q476" s="55"/>
      <c r="R476" s="137" t="s">
        <v>600</v>
      </c>
      <c r="S476" s="136" t="s">
        <v>600</v>
      </c>
      <c r="T476" s="136" t="s">
        <v>17</v>
      </c>
      <c r="U476" s="136" t="s">
        <v>17</v>
      </c>
      <c r="V476" s="136"/>
      <c r="W476" s="136"/>
      <c r="X476" s="263"/>
      <c r="Y476" s="1" t="str">
        <f t="shared" si="10"/>
        <v>_</v>
      </c>
      <c r="Z476" s="1" t="str">
        <f t="shared" si="11"/>
        <v>_</v>
      </c>
      <c r="AA476" s="25"/>
    </row>
    <row r="477" spans="1:27" s="16" customFormat="1" outlineLevel="1" x14ac:dyDescent="0.2">
      <c r="A477" s="31"/>
      <c r="B477" s="81"/>
      <c r="C477" s="82"/>
      <c r="D477" s="89"/>
      <c r="E477" s="91"/>
      <c r="F477" s="92"/>
      <c r="G477" s="93"/>
      <c r="H477" s="46"/>
      <c r="I477" s="42"/>
      <c r="J477" s="214"/>
      <c r="K477" s="37"/>
      <c r="L477" s="38"/>
      <c r="M477" s="38"/>
      <c r="N477" s="37"/>
      <c r="O477" s="39"/>
      <c r="P477" s="53"/>
      <c r="Q477" s="55"/>
      <c r="R477" s="137" t="s">
        <v>600</v>
      </c>
      <c r="S477" s="136" t="s">
        <v>600</v>
      </c>
      <c r="T477" s="136" t="s">
        <v>17</v>
      </c>
      <c r="U477" s="136" t="s">
        <v>17</v>
      </c>
      <c r="V477" s="136"/>
      <c r="W477" s="136"/>
      <c r="X477" s="263"/>
      <c r="Y477" s="1" t="str">
        <f t="shared" si="10"/>
        <v>_</v>
      </c>
      <c r="Z477" s="1" t="str">
        <f t="shared" si="11"/>
        <v>_</v>
      </c>
      <c r="AA477" s="25"/>
    </row>
    <row r="478" spans="1:27" s="16" customFormat="1" outlineLevel="1" x14ac:dyDescent="0.2">
      <c r="A478" s="31"/>
      <c r="B478" s="81"/>
      <c r="C478" s="82"/>
      <c r="D478" s="89"/>
      <c r="E478" s="91"/>
      <c r="F478" s="92"/>
      <c r="G478" s="93"/>
      <c r="H478" s="46"/>
      <c r="I478" s="42"/>
      <c r="J478" s="214"/>
      <c r="K478" s="37"/>
      <c r="L478" s="38"/>
      <c r="M478" s="38"/>
      <c r="N478" s="37"/>
      <c r="O478" s="39"/>
      <c r="P478" s="53"/>
      <c r="Q478" s="55"/>
      <c r="R478" s="137" t="s">
        <v>600</v>
      </c>
      <c r="S478" s="136" t="s">
        <v>600</v>
      </c>
      <c r="T478" s="136" t="s">
        <v>17</v>
      </c>
      <c r="U478" s="136" t="s">
        <v>17</v>
      </c>
      <c r="V478" s="136"/>
      <c r="W478" s="136"/>
      <c r="X478" s="263"/>
      <c r="Y478" s="1" t="str">
        <f t="shared" si="10"/>
        <v>_</v>
      </c>
      <c r="Z478" s="1" t="str">
        <f t="shared" si="11"/>
        <v>_</v>
      </c>
      <c r="AA478" s="25"/>
    </row>
    <row r="479" spans="1:27" s="16" customFormat="1" outlineLevel="1" x14ac:dyDescent="0.2">
      <c r="A479" s="31"/>
      <c r="B479" s="81"/>
      <c r="C479" s="82"/>
      <c r="D479" s="89"/>
      <c r="E479" s="91"/>
      <c r="F479" s="92"/>
      <c r="G479" s="93"/>
      <c r="H479" s="46"/>
      <c r="I479" s="42"/>
      <c r="J479" s="214"/>
      <c r="K479" s="37"/>
      <c r="L479" s="38"/>
      <c r="M479" s="38"/>
      <c r="N479" s="37"/>
      <c r="O479" s="39"/>
      <c r="P479" s="53"/>
      <c r="Q479" s="55"/>
      <c r="R479" s="137" t="s">
        <v>600</v>
      </c>
      <c r="S479" s="136" t="s">
        <v>600</v>
      </c>
      <c r="T479" s="136" t="s">
        <v>17</v>
      </c>
      <c r="U479" s="136" t="s">
        <v>17</v>
      </c>
      <c r="V479" s="136"/>
      <c r="W479" s="136"/>
      <c r="X479" s="263"/>
      <c r="Y479" s="1" t="str">
        <f t="shared" si="10"/>
        <v>_</v>
      </c>
      <c r="Z479" s="1" t="str">
        <f t="shared" si="11"/>
        <v>_</v>
      </c>
      <c r="AA479" s="25"/>
    </row>
    <row r="480" spans="1:27" s="16" customFormat="1" outlineLevel="1" x14ac:dyDescent="0.2">
      <c r="A480" s="31"/>
      <c r="B480" s="81"/>
      <c r="C480" s="82"/>
      <c r="D480" s="89"/>
      <c r="E480" s="91"/>
      <c r="F480" s="92"/>
      <c r="G480" s="93"/>
      <c r="H480" s="46"/>
      <c r="I480" s="42"/>
      <c r="J480" s="214"/>
      <c r="K480" s="37"/>
      <c r="L480" s="38"/>
      <c r="M480" s="38"/>
      <c r="N480" s="37"/>
      <c r="O480" s="39"/>
      <c r="P480" s="53"/>
      <c r="Q480" s="55"/>
      <c r="R480" s="137" t="s">
        <v>600</v>
      </c>
      <c r="S480" s="136" t="s">
        <v>600</v>
      </c>
      <c r="T480" s="136" t="s">
        <v>17</v>
      </c>
      <c r="U480" s="136" t="s">
        <v>17</v>
      </c>
      <c r="V480" s="136"/>
      <c r="W480" s="136"/>
      <c r="X480" s="263"/>
      <c r="Y480" s="1" t="str">
        <f t="shared" si="10"/>
        <v>_</v>
      </c>
      <c r="Z480" s="1" t="str">
        <f t="shared" si="11"/>
        <v>_</v>
      </c>
      <c r="AA480" s="25"/>
    </row>
    <row r="481" spans="1:27" s="16" customFormat="1" outlineLevel="1" x14ac:dyDescent="0.2">
      <c r="A481" s="31"/>
      <c r="B481" s="81"/>
      <c r="C481" s="82"/>
      <c r="D481" s="89"/>
      <c r="E481" s="91"/>
      <c r="F481" s="92"/>
      <c r="G481" s="93"/>
      <c r="H481" s="46"/>
      <c r="I481" s="42"/>
      <c r="J481" s="214"/>
      <c r="K481" s="37"/>
      <c r="L481" s="38"/>
      <c r="M481" s="38"/>
      <c r="N481" s="37"/>
      <c r="O481" s="39"/>
      <c r="P481" s="53"/>
      <c r="Q481" s="55"/>
      <c r="R481" s="137" t="s">
        <v>600</v>
      </c>
      <c r="S481" s="136" t="s">
        <v>600</v>
      </c>
      <c r="T481" s="136" t="s">
        <v>17</v>
      </c>
      <c r="U481" s="136" t="s">
        <v>17</v>
      </c>
      <c r="V481" s="136"/>
      <c r="W481" s="136"/>
      <c r="X481" s="263"/>
      <c r="Y481" s="1" t="str">
        <f t="shared" si="10"/>
        <v>_</v>
      </c>
      <c r="Z481" s="1" t="str">
        <f t="shared" si="11"/>
        <v>_</v>
      </c>
      <c r="AA481" s="25"/>
    </row>
    <row r="482" spans="1:27" s="16" customFormat="1" outlineLevel="1" x14ac:dyDescent="0.2">
      <c r="A482" s="31"/>
      <c r="B482" s="81"/>
      <c r="C482" s="82"/>
      <c r="D482" s="89"/>
      <c r="E482" s="91"/>
      <c r="F482" s="92"/>
      <c r="G482" s="93"/>
      <c r="H482" s="46"/>
      <c r="I482" s="42"/>
      <c r="J482" s="214"/>
      <c r="K482" s="37"/>
      <c r="L482" s="38"/>
      <c r="M482" s="38"/>
      <c r="N482" s="37"/>
      <c r="O482" s="39"/>
      <c r="P482" s="53"/>
      <c r="Q482" s="55"/>
      <c r="R482" s="137" t="s">
        <v>600</v>
      </c>
      <c r="S482" s="136" t="s">
        <v>600</v>
      </c>
      <c r="T482" s="136" t="s">
        <v>17</v>
      </c>
      <c r="U482" s="136" t="s">
        <v>17</v>
      </c>
      <c r="V482" s="136"/>
      <c r="W482" s="136"/>
      <c r="X482" s="263"/>
      <c r="Y482" s="1" t="str">
        <f t="shared" si="10"/>
        <v>_</v>
      </c>
      <c r="Z482" s="1" t="str">
        <f t="shared" si="11"/>
        <v>_</v>
      </c>
      <c r="AA482" s="25"/>
    </row>
    <row r="483" spans="1:27" s="16" customFormat="1" outlineLevel="1" x14ac:dyDescent="0.2">
      <c r="A483" s="31"/>
      <c r="B483" s="81"/>
      <c r="C483" s="82"/>
      <c r="D483" s="89"/>
      <c r="E483" s="91"/>
      <c r="F483" s="92"/>
      <c r="G483" s="93"/>
      <c r="H483" s="46"/>
      <c r="I483" s="42"/>
      <c r="J483" s="214"/>
      <c r="K483" s="37"/>
      <c r="L483" s="38"/>
      <c r="M483" s="38"/>
      <c r="N483" s="37"/>
      <c r="O483" s="39"/>
      <c r="P483" s="53"/>
      <c r="Q483" s="55"/>
      <c r="R483" s="137" t="s">
        <v>600</v>
      </c>
      <c r="S483" s="136" t="s">
        <v>600</v>
      </c>
      <c r="T483" s="136" t="s">
        <v>17</v>
      </c>
      <c r="U483" s="136" t="s">
        <v>17</v>
      </c>
      <c r="V483" s="136"/>
      <c r="W483" s="136"/>
      <c r="X483" s="263"/>
      <c r="Y483" s="1" t="str">
        <f t="shared" si="10"/>
        <v>_</v>
      </c>
      <c r="Z483" s="1" t="str">
        <f t="shared" si="11"/>
        <v>_</v>
      </c>
      <c r="AA483" s="25"/>
    </row>
    <row r="484" spans="1:27" s="16" customFormat="1" outlineLevel="1" x14ac:dyDescent="0.2">
      <c r="A484" s="31"/>
      <c r="B484" s="81"/>
      <c r="C484" s="82"/>
      <c r="D484" s="89"/>
      <c r="E484" s="91"/>
      <c r="F484" s="92"/>
      <c r="G484" s="93"/>
      <c r="H484" s="46"/>
      <c r="I484" s="42"/>
      <c r="J484" s="214"/>
      <c r="K484" s="37"/>
      <c r="L484" s="38"/>
      <c r="M484" s="38"/>
      <c r="N484" s="37"/>
      <c r="O484" s="39"/>
      <c r="P484" s="53"/>
      <c r="Q484" s="55"/>
      <c r="R484" s="137" t="s">
        <v>600</v>
      </c>
      <c r="S484" s="136" t="s">
        <v>600</v>
      </c>
      <c r="T484" s="136" t="s">
        <v>17</v>
      </c>
      <c r="U484" s="136" t="s">
        <v>17</v>
      </c>
      <c r="V484" s="136"/>
      <c r="W484" s="136"/>
      <c r="X484" s="263"/>
      <c r="Y484" s="1" t="str">
        <f t="shared" si="10"/>
        <v>_</v>
      </c>
      <c r="Z484" s="1" t="str">
        <f t="shared" si="11"/>
        <v>_</v>
      </c>
      <c r="AA484" s="25"/>
    </row>
    <row r="485" spans="1:27" s="16" customFormat="1" outlineLevel="1" x14ac:dyDescent="0.2">
      <c r="A485" s="31"/>
      <c r="B485" s="81"/>
      <c r="C485" s="82"/>
      <c r="D485" s="89"/>
      <c r="E485" s="91"/>
      <c r="F485" s="92"/>
      <c r="G485" s="93"/>
      <c r="H485" s="46"/>
      <c r="I485" s="42"/>
      <c r="J485" s="214"/>
      <c r="K485" s="37"/>
      <c r="L485" s="38"/>
      <c r="M485" s="38"/>
      <c r="N485" s="37"/>
      <c r="O485" s="39"/>
      <c r="P485" s="53"/>
      <c r="Q485" s="55"/>
      <c r="R485" s="137" t="s">
        <v>600</v>
      </c>
      <c r="S485" s="136" t="s">
        <v>600</v>
      </c>
      <c r="T485" s="136" t="s">
        <v>17</v>
      </c>
      <c r="U485" s="136" t="s">
        <v>17</v>
      </c>
      <c r="V485" s="136"/>
      <c r="W485" s="136"/>
      <c r="X485" s="263"/>
      <c r="Y485" s="1" t="str">
        <f t="shared" si="10"/>
        <v>_</v>
      </c>
      <c r="Z485" s="1" t="str">
        <f t="shared" si="11"/>
        <v>_</v>
      </c>
      <c r="AA485" s="25"/>
    </row>
    <row r="486" spans="1:27" s="16" customFormat="1" outlineLevel="1" x14ac:dyDescent="0.2">
      <c r="A486" s="31"/>
      <c r="B486" s="81"/>
      <c r="C486" s="82"/>
      <c r="D486" s="89"/>
      <c r="E486" s="91"/>
      <c r="F486" s="92"/>
      <c r="G486" s="93"/>
      <c r="H486" s="46"/>
      <c r="I486" s="42"/>
      <c r="J486" s="214"/>
      <c r="K486" s="37"/>
      <c r="L486" s="38"/>
      <c r="M486" s="38"/>
      <c r="N486" s="37"/>
      <c r="O486" s="39"/>
      <c r="P486" s="53"/>
      <c r="Q486" s="55"/>
      <c r="R486" s="137" t="s">
        <v>600</v>
      </c>
      <c r="S486" s="136" t="s">
        <v>600</v>
      </c>
      <c r="T486" s="136" t="s">
        <v>17</v>
      </c>
      <c r="U486" s="136" t="s">
        <v>17</v>
      </c>
      <c r="V486" s="136"/>
      <c r="W486" s="136"/>
      <c r="X486" s="263"/>
      <c r="Y486" s="1" t="str">
        <f t="shared" si="10"/>
        <v>_</v>
      </c>
      <c r="Z486" s="1" t="str">
        <f t="shared" si="11"/>
        <v>_</v>
      </c>
      <c r="AA486" s="25"/>
    </row>
    <row r="487" spans="1:27" s="16" customFormat="1" outlineLevel="1" x14ac:dyDescent="0.2">
      <c r="A487" s="31"/>
      <c r="B487" s="81"/>
      <c r="C487" s="82"/>
      <c r="D487" s="89"/>
      <c r="E487" s="91"/>
      <c r="F487" s="92"/>
      <c r="G487" s="93"/>
      <c r="H487" s="46"/>
      <c r="I487" s="42"/>
      <c r="J487" s="214"/>
      <c r="K487" s="37"/>
      <c r="L487" s="38"/>
      <c r="M487" s="38"/>
      <c r="N487" s="37"/>
      <c r="O487" s="39"/>
      <c r="P487" s="53"/>
      <c r="Q487" s="55"/>
      <c r="R487" s="137" t="s">
        <v>600</v>
      </c>
      <c r="S487" s="136" t="s">
        <v>600</v>
      </c>
      <c r="T487" s="136" t="s">
        <v>17</v>
      </c>
      <c r="U487" s="136" t="s">
        <v>17</v>
      </c>
      <c r="V487" s="136"/>
      <c r="W487" s="136"/>
      <c r="X487" s="263"/>
      <c r="Y487" s="1" t="str">
        <f t="shared" si="10"/>
        <v>_</v>
      </c>
      <c r="Z487" s="1" t="str">
        <f t="shared" si="11"/>
        <v>_</v>
      </c>
      <c r="AA487" s="25"/>
    </row>
    <row r="488" spans="1:27" s="16" customFormat="1" outlineLevel="1" x14ac:dyDescent="0.2">
      <c r="A488" s="31"/>
      <c r="B488" s="81"/>
      <c r="C488" s="82"/>
      <c r="D488" s="89"/>
      <c r="E488" s="91"/>
      <c r="F488" s="92"/>
      <c r="G488" s="93"/>
      <c r="H488" s="46"/>
      <c r="I488" s="42"/>
      <c r="J488" s="214"/>
      <c r="K488" s="37"/>
      <c r="L488" s="38"/>
      <c r="M488" s="38"/>
      <c r="N488" s="37"/>
      <c r="O488" s="39"/>
      <c r="P488" s="53"/>
      <c r="Q488" s="55"/>
      <c r="R488" s="137" t="s">
        <v>600</v>
      </c>
      <c r="S488" s="136" t="s">
        <v>600</v>
      </c>
      <c r="T488" s="136" t="s">
        <v>17</v>
      </c>
      <c r="U488" s="136" t="s">
        <v>17</v>
      </c>
      <c r="V488" s="136"/>
      <c r="W488" s="136"/>
      <c r="X488" s="263"/>
      <c r="Y488" s="1" t="str">
        <f t="shared" si="10"/>
        <v>_</v>
      </c>
      <c r="Z488" s="1" t="str">
        <f t="shared" si="11"/>
        <v>_</v>
      </c>
      <c r="AA488" s="25"/>
    </row>
    <row r="489" spans="1:27" s="16" customFormat="1" outlineLevel="1" x14ac:dyDescent="0.2">
      <c r="A489" s="31"/>
      <c r="B489" s="81"/>
      <c r="C489" s="82"/>
      <c r="D489" s="89"/>
      <c r="E489" s="91"/>
      <c r="F489" s="92"/>
      <c r="G489" s="93"/>
      <c r="H489" s="46"/>
      <c r="I489" s="42"/>
      <c r="J489" s="214"/>
      <c r="K489" s="37"/>
      <c r="L489" s="38"/>
      <c r="M489" s="38"/>
      <c r="N489" s="37"/>
      <c r="O489" s="39"/>
      <c r="P489" s="53"/>
      <c r="Q489" s="55"/>
      <c r="R489" s="137" t="s">
        <v>600</v>
      </c>
      <c r="S489" s="136" t="s">
        <v>600</v>
      </c>
      <c r="T489" s="136" t="s">
        <v>17</v>
      </c>
      <c r="U489" s="136" t="s">
        <v>17</v>
      </c>
      <c r="V489" s="136"/>
      <c r="W489" s="136"/>
      <c r="X489" s="263"/>
      <c r="Y489" s="1" t="str">
        <f t="shared" si="10"/>
        <v>_</v>
      </c>
      <c r="Z489" s="1" t="str">
        <f t="shared" si="11"/>
        <v>_</v>
      </c>
      <c r="AA489" s="25"/>
    </row>
    <row r="490" spans="1:27" s="16" customFormat="1" outlineLevel="1" x14ac:dyDescent="0.2">
      <c r="A490" s="31"/>
      <c r="B490" s="81"/>
      <c r="C490" s="82"/>
      <c r="D490" s="89"/>
      <c r="E490" s="91"/>
      <c r="F490" s="92"/>
      <c r="G490" s="93"/>
      <c r="H490" s="46"/>
      <c r="I490" s="42"/>
      <c r="J490" s="214"/>
      <c r="K490" s="37"/>
      <c r="L490" s="38"/>
      <c r="M490" s="38"/>
      <c r="N490" s="37"/>
      <c r="O490" s="39"/>
      <c r="P490" s="53"/>
      <c r="Q490" s="55"/>
      <c r="R490" s="137" t="s">
        <v>600</v>
      </c>
      <c r="S490" s="136" t="s">
        <v>600</v>
      </c>
      <c r="T490" s="136" t="s">
        <v>17</v>
      </c>
      <c r="U490" s="136" t="s">
        <v>17</v>
      </c>
      <c r="V490" s="136"/>
      <c r="W490" s="136"/>
      <c r="X490" s="263"/>
      <c r="Y490" s="1" t="str">
        <f t="shared" si="10"/>
        <v>_</v>
      </c>
      <c r="Z490" s="1" t="str">
        <f t="shared" si="11"/>
        <v>_</v>
      </c>
      <c r="AA490" s="25"/>
    </row>
    <row r="491" spans="1:27" s="16" customFormat="1" outlineLevel="1" x14ac:dyDescent="0.2">
      <c r="A491" s="31"/>
      <c r="B491" s="81"/>
      <c r="C491" s="82"/>
      <c r="D491" s="89"/>
      <c r="E491" s="91"/>
      <c r="F491" s="92"/>
      <c r="G491" s="93"/>
      <c r="H491" s="46"/>
      <c r="I491" s="42"/>
      <c r="J491" s="214"/>
      <c r="K491" s="37"/>
      <c r="L491" s="38"/>
      <c r="M491" s="38"/>
      <c r="N491" s="37"/>
      <c r="O491" s="39"/>
      <c r="P491" s="53"/>
      <c r="Q491" s="55"/>
      <c r="R491" s="137" t="s">
        <v>600</v>
      </c>
      <c r="S491" s="136" t="s">
        <v>600</v>
      </c>
      <c r="T491" s="136" t="s">
        <v>17</v>
      </c>
      <c r="U491" s="136" t="s">
        <v>17</v>
      </c>
      <c r="V491" s="136"/>
      <c r="W491" s="136"/>
      <c r="X491" s="263"/>
      <c r="Y491" s="1" t="str">
        <f t="shared" si="10"/>
        <v>_</v>
      </c>
      <c r="Z491" s="1" t="str">
        <f t="shared" si="11"/>
        <v>_</v>
      </c>
      <c r="AA491" s="25"/>
    </row>
    <row r="492" spans="1:27" s="16" customFormat="1" outlineLevel="1" x14ac:dyDescent="0.2">
      <c r="A492" s="31"/>
      <c r="B492" s="81"/>
      <c r="C492" s="82"/>
      <c r="D492" s="89"/>
      <c r="E492" s="91"/>
      <c r="F492" s="92"/>
      <c r="G492" s="93"/>
      <c r="H492" s="46"/>
      <c r="I492" s="42"/>
      <c r="J492" s="214"/>
      <c r="K492" s="37"/>
      <c r="L492" s="38"/>
      <c r="M492" s="38"/>
      <c r="N492" s="37"/>
      <c r="O492" s="39"/>
      <c r="P492" s="53"/>
      <c r="Q492" s="55"/>
      <c r="R492" s="137" t="s">
        <v>600</v>
      </c>
      <c r="S492" s="136" t="s">
        <v>600</v>
      </c>
      <c r="T492" s="136" t="s">
        <v>17</v>
      </c>
      <c r="U492" s="136" t="s">
        <v>17</v>
      </c>
      <c r="V492" s="136"/>
      <c r="W492" s="136"/>
      <c r="X492" s="263"/>
      <c r="Y492" s="1" t="str">
        <f t="shared" si="10"/>
        <v>_</v>
      </c>
      <c r="Z492" s="1" t="str">
        <f t="shared" si="11"/>
        <v>_</v>
      </c>
      <c r="AA492" s="25"/>
    </row>
    <row r="493" spans="1:27" s="16" customFormat="1" outlineLevel="1" x14ac:dyDescent="0.2">
      <c r="A493" s="31"/>
      <c r="B493" s="81"/>
      <c r="C493" s="82"/>
      <c r="D493" s="89"/>
      <c r="E493" s="91"/>
      <c r="F493" s="92"/>
      <c r="G493" s="93"/>
      <c r="H493" s="46"/>
      <c r="I493" s="42"/>
      <c r="J493" s="214"/>
      <c r="K493" s="37"/>
      <c r="L493" s="38"/>
      <c r="M493" s="38"/>
      <c r="N493" s="37"/>
      <c r="O493" s="39"/>
      <c r="P493" s="53"/>
      <c r="Q493" s="55"/>
      <c r="R493" s="137" t="s">
        <v>600</v>
      </c>
      <c r="S493" s="136" t="s">
        <v>600</v>
      </c>
      <c r="T493" s="136" t="s">
        <v>17</v>
      </c>
      <c r="U493" s="136" t="s">
        <v>17</v>
      </c>
      <c r="V493" s="136"/>
      <c r="W493" s="136"/>
      <c r="X493" s="263"/>
      <c r="Y493" s="1" t="str">
        <f t="shared" si="10"/>
        <v>_</v>
      </c>
      <c r="Z493" s="1" t="str">
        <f t="shared" si="11"/>
        <v>_</v>
      </c>
      <c r="AA493" s="25"/>
    </row>
    <row r="494" spans="1:27" s="16" customFormat="1" outlineLevel="1" x14ac:dyDescent="0.2">
      <c r="A494" s="31"/>
      <c r="B494" s="81"/>
      <c r="C494" s="82"/>
      <c r="D494" s="89"/>
      <c r="E494" s="91"/>
      <c r="F494" s="92"/>
      <c r="G494" s="93"/>
      <c r="H494" s="46"/>
      <c r="I494" s="42"/>
      <c r="J494" s="214"/>
      <c r="K494" s="37"/>
      <c r="L494" s="38"/>
      <c r="M494" s="38"/>
      <c r="N494" s="37"/>
      <c r="O494" s="39"/>
      <c r="P494" s="53"/>
      <c r="Q494" s="55"/>
      <c r="R494" s="137" t="s">
        <v>600</v>
      </c>
      <c r="S494" s="136" t="s">
        <v>600</v>
      </c>
      <c r="T494" s="136" t="s">
        <v>17</v>
      </c>
      <c r="U494" s="136" t="s">
        <v>17</v>
      </c>
      <c r="V494" s="136"/>
      <c r="W494" s="136"/>
      <c r="X494" s="263"/>
      <c r="Y494" s="1" t="str">
        <f t="shared" si="10"/>
        <v>_</v>
      </c>
      <c r="Z494" s="1" t="str">
        <f t="shared" si="11"/>
        <v>_</v>
      </c>
      <c r="AA494" s="25"/>
    </row>
    <row r="495" spans="1:27" s="16" customFormat="1" outlineLevel="1" x14ac:dyDescent="0.2">
      <c r="A495" s="31"/>
      <c r="B495" s="81"/>
      <c r="C495" s="82"/>
      <c r="D495" s="89"/>
      <c r="E495" s="91"/>
      <c r="F495" s="92"/>
      <c r="G495" s="93"/>
      <c r="H495" s="46"/>
      <c r="I495" s="42"/>
      <c r="J495" s="214"/>
      <c r="K495" s="37"/>
      <c r="L495" s="38"/>
      <c r="M495" s="38"/>
      <c r="N495" s="37"/>
      <c r="O495" s="39"/>
      <c r="P495" s="53"/>
      <c r="Q495" s="55"/>
      <c r="R495" s="137" t="s">
        <v>600</v>
      </c>
      <c r="S495" s="136" t="s">
        <v>600</v>
      </c>
      <c r="T495" s="136" t="s">
        <v>17</v>
      </c>
      <c r="U495" s="136" t="s">
        <v>17</v>
      </c>
      <c r="V495" s="136"/>
      <c r="W495" s="136"/>
      <c r="X495" s="263"/>
      <c r="Y495" s="1" t="str">
        <f t="shared" si="10"/>
        <v>_</v>
      </c>
      <c r="Z495" s="1" t="str">
        <f t="shared" si="11"/>
        <v>_</v>
      </c>
      <c r="AA495" s="25"/>
    </row>
    <row r="496" spans="1:27" s="16" customFormat="1" outlineLevel="1" x14ac:dyDescent="0.2">
      <c r="A496" s="31"/>
      <c r="B496" s="81"/>
      <c r="C496" s="82"/>
      <c r="D496" s="89"/>
      <c r="E496" s="91"/>
      <c r="F496" s="92"/>
      <c r="G496" s="93"/>
      <c r="H496" s="46"/>
      <c r="I496" s="42"/>
      <c r="J496" s="214"/>
      <c r="K496" s="37"/>
      <c r="L496" s="38"/>
      <c r="M496" s="38"/>
      <c r="N496" s="37"/>
      <c r="O496" s="39"/>
      <c r="P496" s="53"/>
      <c r="Q496" s="55"/>
      <c r="R496" s="137" t="s">
        <v>600</v>
      </c>
      <c r="S496" s="136" t="s">
        <v>600</v>
      </c>
      <c r="T496" s="136" t="s">
        <v>17</v>
      </c>
      <c r="U496" s="136" t="s">
        <v>17</v>
      </c>
      <c r="V496" s="136"/>
      <c r="W496" s="136"/>
      <c r="X496" s="263"/>
      <c r="Y496" s="1" t="str">
        <f t="shared" si="10"/>
        <v>_</v>
      </c>
      <c r="Z496" s="1" t="str">
        <f t="shared" si="11"/>
        <v>_</v>
      </c>
      <c r="AA496" s="25"/>
    </row>
    <row r="497" spans="1:34" s="16" customFormat="1" ht="13.5" outlineLevel="1" thickBot="1" x14ac:dyDescent="0.25">
      <c r="A497" s="31"/>
      <c r="B497" s="83"/>
      <c r="C497" s="84"/>
      <c r="D497" s="84"/>
      <c r="E497" s="84"/>
      <c r="F497" s="85"/>
      <c r="G497" s="86"/>
      <c r="H497" s="47"/>
      <c r="I497" s="43"/>
      <c r="J497" s="215"/>
      <c r="K497" s="76"/>
      <c r="L497" s="77"/>
      <c r="M497" s="77"/>
      <c r="N497" s="77"/>
      <c r="O497" s="78"/>
      <c r="P497" s="79"/>
      <c r="Q497" s="80"/>
      <c r="R497" s="163" t="s">
        <v>600</v>
      </c>
      <c r="S497" s="164" t="s">
        <v>600</v>
      </c>
      <c r="T497" s="164" t="s">
        <v>17</v>
      </c>
      <c r="U497" s="164" t="s">
        <v>17</v>
      </c>
      <c r="V497" s="136"/>
      <c r="W497" s="136"/>
      <c r="X497" s="264"/>
      <c r="Y497" s="1" t="str">
        <f t="shared" si="10"/>
        <v>_</v>
      </c>
      <c r="Z497" s="1" t="str">
        <f t="shared" si="11"/>
        <v>_</v>
      </c>
      <c r="AA497" s="25"/>
    </row>
    <row r="498" spans="1:34" s="16" customFormat="1" x14ac:dyDescent="0.2">
      <c r="B498" s="87"/>
      <c r="C498" s="87"/>
      <c r="D498" s="87"/>
      <c r="E498" s="87"/>
      <c r="F498" s="87"/>
      <c r="G498" s="87"/>
      <c r="P498" s="26"/>
      <c r="T498" s="26"/>
      <c r="Y498" s="5"/>
      <c r="Z498" s="5"/>
      <c r="AD498" s="25"/>
      <c r="AE498" s="25"/>
      <c r="AF498" s="25"/>
      <c r="AG498" s="25"/>
      <c r="AH498" s="25"/>
    </row>
    <row r="499" spans="1:34" s="16" customFormat="1" x14ac:dyDescent="0.2">
      <c r="B499" s="87"/>
      <c r="C499" s="87"/>
      <c r="D499" s="87"/>
      <c r="E499" s="87"/>
      <c r="F499" s="87"/>
      <c r="G499" s="87"/>
      <c r="P499" s="26"/>
      <c r="T499" s="26"/>
      <c r="Y499" s="5"/>
      <c r="Z499" s="5"/>
      <c r="AD499" s="25"/>
      <c r="AE499" s="25"/>
      <c r="AF499" s="25"/>
      <c r="AG499" s="25"/>
      <c r="AH499" s="25"/>
    </row>
    <row r="500" spans="1:34" s="16" customFormat="1" x14ac:dyDescent="0.2">
      <c r="B500" s="87"/>
      <c r="C500" s="87"/>
      <c r="D500" s="87"/>
      <c r="E500" s="87"/>
      <c r="F500" s="87"/>
      <c r="G500" s="87"/>
      <c r="P500" s="26"/>
      <c r="T500" s="26"/>
      <c r="Y500" s="5"/>
      <c r="Z500" s="5"/>
    </row>
    <row r="501" spans="1:34" s="16" customFormat="1" x14ac:dyDescent="0.2">
      <c r="B501" s="87"/>
      <c r="C501" s="87"/>
      <c r="D501" s="87"/>
      <c r="E501" s="87"/>
      <c r="F501" s="87"/>
      <c r="G501" s="87"/>
      <c r="P501" s="26"/>
      <c r="T501" s="26"/>
      <c r="Y501" s="5"/>
      <c r="Z501" s="5"/>
    </row>
    <row r="502" spans="1:34" s="16" customFormat="1" x14ac:dyDescent="0.2">
      <c r="B502" s="87"/>
      <c r="C502" s="87"/>
      <c r="D502" s="87"/>
      <c r="E502" s="87"/>
      <c r="F502" s="87"/>
      <c r="G502" s="87"/>
      <c r="P502" s="26"/>
      <c r="T502" s="26"/>
      <c r="Y502" s="5"/>
      <c r="Z502" s="5"/>
    </row>
    <row r="503" spans="1:34" s="16" customFormat="1" x14ac:dyDescent="0.2">
      <c r="B503" s="87"/>
      <c r="C503" s="87"/>
      <c r="D503" s="87"/>
      <c r="E503" s="87"/>
      <c r="F503" s="87"/>
      <c r="G503" s="87"/>
      <c r="P503" s="26"/>
      <c r="T503" s="26"/>
      <c r="Y503" s="5"/>
      <c r="Z503" s="5"/>
    </row>
    <row r="504" spans="1:34" s="16" customFormat="1" x14ac:dyDescent="0.2">
      <c r="B504" s="87"/>
      <c r="C504" s="87"/>
      <c r="D504" s="87"/>
      <c r="E504" s="87"/>
      <c r="F504" s="87"/>
      <c r="G504" s="87"/>
      <c r="P504" s="26"/>
      <c r="T504" s="26"/>
      <c r="Y504" s="5"/>
      <c r="Z504" s="5"/>
    </row>
  </sheetData>
  <mergeCells count="43">
    <mergeCell ref="A2:G3"/>
    <mergeCell ref="A116:H116"/>
    <mergeCell ref="D5:E5"/>
    <mergeCell ref="E83:E92"/>
    <mergeCell ref="F5:H5"/>
    <mergeCell ref="F56:F57"/>
    <mergeCell ref="F81:H81"/>
    <mergeCell ref="F83:F85"/>
    <mergeCell ref="F86:F92"/>
    <mergeCell ref="G82:H82"/>
    <mergeCell ref="G83:L85"/>
    <mergeCell ref="G86:L92"/>
    <mergeCell ref="G93:H93"/>
    <mergeCell ref="G94:H94"/>
    <mergeCell ref="G95:H95"/>
    <mergeCell ref="G96:H96"/>
    <mergeCell ref="G97:H97"/>
    <mergeCell ref="G100:H100"/>
    <mergeCell ref="G101:H101"/>
    <mergeCell ref="H44:I44"/>
    <mergeCell ref="H45:I45"/>
    <mergeCell ref="H46:I46"/>
    <mergeCell ref="H47:I47"/>
    <mergeCell ref="H48:I48"/>
    <mergeCell ref="H49:I49"/>
    <mergeCell ref="H50:I50"/>
    <mergeCell ref="H51:I51"/>
    <mergeCell ref="H52:I52"/>
    <mergeCell ref="H53:I53"/>
    <mergeCell ref="H54:I54"/>
    <mergeCell ref="H55:I55"/>
    <mergeCell ref="H56:I56"/>
    <mergeCell ref="H57:I57"/>
    <mergeCell ref="H58:I58"/>
    <mergeCell ref="H59:I59"/>
    <mergeCell ref="H60:I70"/>
    <mergeCell ref="I5:J5"/>
    <mergeCell ref="I14:J27"/>
    <mergeCell ref="I116:P116"/>
    <mergeCell ref="J60:J70"/>
    <mergeCell ref="M5:N5"/>
    <mergeCell ref="O50:O60"/>
    <mergeCell ref="P50:Q60"/>
  </mergeCells>
  <conditionalFormatting sqref="">
    <cfRule type="cellIs" dxfId="47" priority="20" stopIfTrue="1" operator="equal">
      <formula>#REF!</formula>
    </cfRule>
  </conditionalFormatting>
  <conditionalFormatting sqref="P117:P497">
    <cfRule type="cellIs" dxfId="46" priority="33" stopIfTrue="1" operator="equal">
      <formula>#REF!</formula>
    </cfRule>
  </conditionalFormatting>
  <conditionalFormatting sqref="">
    <cfRule type="cellIs" dxfId="45" priority="22" stopIfTrue="1" operator="equal">
      <formula>#REF!</formula>
    </cfRule>
  </conditionalFormatting>
  <conditionalFormatting sqref="">
    <cfRule type="cellIs" dxfId="44" priority="14" stopIfTrue="1" operator="equal">
      <formula>#REF!</formula>
    </cfRule>
  </conditionalFormatting>
  <conditionalFormatting sqref="">
    <cfRule type="cellIs" dxfId="43" priority="15" stopIfTrue="1" operator="equal">
      <formula>#REF!</formula>
    </cfRule>
  </conditionalFormatting>
  <conditionalFormatting sqref="X117:X497">
    <cfRule type="cellIs" dxfId="42" priority="35" stopIfTrue="1" operator="equal">
      <formula>#REF!</formula>
    </cfRule>
  </conditionalFormatting>
  <conditionalFormatting sqref="B117">
    <cfRule type="cellIs" dxfId="47" priority="7" stopIfTrue="1" operator="equal">
      <formula>#REF!</formula>
    </cfRule>
  </conditionalFormatting>
  <conditionalFormatting sqref="C117">
    <cfRule type="cellIs" dxfId="47" priority="8" stopIfTrue="1" operator="equal">
      <formula>#REF!</formula>
    </cfRule>
  </conditionalFormatting>
  <conditionalFormatting sqref="D117">
    <cfRule type="cellIs" dxfId="47" priority="9" stopIfTrue="1" operator="equal">
      <formula>#REF!</formula>
    </cfRule>
  </conditionalFormatting>
  <conditionalFormatting sqref="E117">
    <cfRule type="cellIs" dxfId="47" priority="10" stopIfTrue="1" operator="equal">
      <formula>#REF!</formula>
    </cfRule>
  </conditionalFormatting>
  <conditionalFormatting sqref="F117">
    <cfRule type="cellIs" dxfId="47" priority="11" stopIfTrue="1" operator="equal">
      <formula>#REF!</formula>
    </cfRule>
  </conditionalFormatting>
  <conditionalFormatting sqref="G117">
    <cfRule type="cellIs" dxfId="47" priority="12" stopIfTrue="1" operator="equal">
      <formula>#REF!</formula>
    </cfRule>
  </conditionalFormatting>
  <conditionalFormatting sqref="H117">
    <cfRule type="cellIs" dxfId="47" priority="13" stopIfTrue="1" operator="equal">
      <formula>#REF!</formula>
    </cfRule>
  </conditionalFormatting>
  <conditionalFormatting sqref="I116">
    <cfRule type="cellIs" dxfId="44" priority="14" stopIfTrue="1" operator="equal">
      <formula>#REF!</formula>
    </cfRule>
  </conditionalFormatting>
  <conditionalFormatting sqref="J117">
    <cfRule type="cellIs" dxfId="43" priority="15" stopIfTrue="1" operator="equal">
      <formula>#REF!</formula>
    </cfRule>
  </conditionalFormatting>
  <conditionalFormatting sqref="K117">
    <cfRule type="cellIs" dxfId="47" priority="16" stopIfTrue="1" operator="equal">
      <formula>#REF!</formula>
    </cfRule>
  </conditionalFormatting>
  <conditionalFormatting sqref="L117">
    <cfRule type="cellIs" dxfId="47" priority="17" stopIfTrue="1" operator="equal">
      <formula>#REF!</formula>
    </cfRule>
  </conditionalFormatting>
  <conditionalFormatting sqref="M117">
    <cfRule type="cellIs" dxfId="47" priority="18" stopIfTrue="1" operator="equal">
      <formula>#REF!</formula>
    </cfRule>
  </conditionalFormatting>
  <conditionalFormatting sqref="N117">
    <cfRule type="cellIs" dxfId="47" priority="19" stopIfTrue="1" operator="equal">
      <formula>#REF!</formula>
    </cfRule>
  </conditionalFormatting>
  <conditionalFormatting sqref="O117">
    <cfRule type="cellIs" dxfId="47" priority="20" stopIfTrue="1" operator="equal">
      <formula>#REF!</formula>
    </cfRule>
  </conditionalFormatting>
  <conditionalFormatting sqref="P117">
    <cfRule type="cellIs" dxfId="46" priority="21" stopIfTrue="1" operator="equal">
      <formula>#REF!</formula>
    </cfRule>
  </conditionalFormatting>
  <conditionalFormatting sqref="Q117">
    <cfRule type="cellIs" dxfId="45" priority="22" stopIfTrue="1" operator="equal">
      <formula>#REF!</formula>
    </cfRule>
  </conditionalFormatting>
  <conditionalFormatting sqref="X117">
    <cfRule type="cellIs" dxfId="42" priority="23" stopIfTrue="1" operator="equal">
      <formula>#REF!</formula>
    </cfRule>
  </conditionalFormatting>
  <conditionalFormatting sqref="P118">
    <cfRule type="cellIs" dxfId="46" priority="24" stopIfTrue="1" operator="equal">
      <formula>#REF!</formula>
    </cfRule>
  </conditionalFormatting>
  <conditionalFormatting sqref="X118">
    <cfRule type="cellIs" dxfId="42" priority="25" stopIfTrue="1" operator="equal">
      <formula>#REF!</formula>
    </cfRule>
  </conditionalFormatting>
  <conditionalFormatting sqref="P119">
    <cfRule type="cellIs" dxfId="46" priority="26" stopIfTrue="1" operator="equal">
      <formula>#REF!</formula>
    </cfRule>
  </conditionalFormatting>
  <conditionalFormatting sqref="X119">
    <cfRule type="cellIs" dxfId="42" priority="27" stopIfTrue="1" operator="equal">
      <formula>#REF!</formula>
    </cfRule>
  </conditionalFormatting>
  <conditionalFormatting sqref="P120">
    <cfRule type="cellIs" dxfId="46" priority="28" stopIfTrue="1" operator="equal">
      <formula>#REF!</formula>
    </cfRule>
  </conditionalFormatting>
  <conditionalFormatting sqref="X120">
    <cfRule type="cellIs" dxfId="42" priority="29" stopIfTrue="1" operator="equal">
      <formula>#REF!</formula>
    </cfRule>
  </conditionalFormatting>
  <conditionalFormatting sqref="P121">
    <cfRule type="cellIs" dxfId="46" priority="30" stopIfTrue="1" operator="equal">
      <formula>#REF!</formula>
    </cfRule>
  </conditionalFormatting>
  <conditionalFormatting sqref="X121">
    <cfRule type="cellIs" dxfId="42" priority="31" stopIfTrue="1" operator="equal">
      <formula>#REF!</formula>
    </cfRule>
  </conditionalFormatting>
  <conditionalFormatting sqref="P122">
    <cfRule type="cellIs" dxfId="46" priority="32" stopIfTrue="1" operator="equal">
      <formula>#REF!</formula>
    </cfRule>
  </conditionalFormatting>
  <conditionalFormatting sqref="P123">
    <cfRule type="cellIs" dxfId="46" priority="33" stopIfTrue="1" operator="equal">
      <formula>#REF!</formula>
    </cfRule>
  </conditionalFormatting>
  <conditionalFormatting sqref="X122">
    <cfRule type="cellIs" dxfId="42" priority="34" stopIfTrue="1" operator="equal">
      <formula>#REF!</formula>
    </cfRule>
  </conditionalFormatting>
  <conditionalFormatting sqref="X123">
    <cfRule type="cellIs" dxfId="42" priority="35" stopIfTrue="1" operator="equal">
      <formula>#REF!</formula>
    </cfRule>
  </conditionalFormatting>
  <dataValidations xWindow="1107" yWindow="488" count="17">
    <dataValidation type="list" allowBlank="1" showInputMessage="1" showErrorMessage="1" sqref="F50 G94:H96" xr:uid="{00000000-0002-0000-0200-000001000000}">
      <formula1>"Yes,No"</formula1>
    </dataValidation>
    <dataValidation type="list" allowBlank="1" showInputMessage="1" showErrorMessage="1" sqref="R118:S497" xr:uid="{00000000-0002-0000-0200-000002000000}">
      <formula1>"Y,N,?"</formula1>
    </dataValidation>
    <dataValidation type="list" allowBlank="1" showInputMessage="1" showErrorMessage="1" sqref="C61 C100" xr:uid="{00000000-0002-0000-0200-000003000000}">
      <formula1>"False,True"</formula1>
    </dataValidation>
    <dataValidation type="list" allowBlank="1" showInputMessage="1" showErrorMessage="1" sqref="C63 G93:H93" xr:uid="{00000000-0002-0000-0200-000004000000}">
      <formula1>"True,False"</formula1>
    </dataValidation>
    <dataValidation type="list" allowBlank="1" showInputMessage="1" showErrorMessage="1" sqref="T118:T497" xr:uid="{00000000-0002-0000-0200-000005000000}">
      <formula1>"Y,N"</formula1>
    </dataValidation>
    <dataValidation type="custom" allowBlank="1" showInputMessage="1" showErrorMessage="1" promptTitle="Choose type of connection" prompt="Mark by 'X' if you want choose this connection" sqref="F47 J49 F72" xr:uid="{00000000-0002-0000-0200-000006000000}">
      <formula1>RIGHT(F47,1)="X"</formula1>
    </dataValidation>
    <dataValidation type="list" allowBlank="1" showInputMessage="1" showErrorMessage="1" sqref="C94" xr:uid="{00000000-0002-0000-0200-000007000000}">
      <formula1>"None,By partition,By file"</formula1>
    </dataValidation>
    <dataValidation errorStyle="warning" allowBlank="1" showInputMessage="1" showErrorMessage="1" errorTitle="Format du SataSource Name" error="Pas d'epace ou de caractère spéciaux" sqref="C82:C85 C16:C17 D97" xr:uid="{00000000-0002-0000-0200-000008000000}"/>
    <dataValidation type="custom" allowBlank="1" showInputMessage="1" showErrorMessage="1" promptTitle="Choose type of connection" prompt="Mark by 'X' if you want choose this connection" sqref="J44 C81 F51 C88 J59 J54 J48 F44:F45 F55 M54 M44 M46 F67" xr:uid="{00000000-0002-0000-0200-000009000000}">
      <formula1>EXACT(C44,"X")</formula1>
    </dataValidation>
    <dataValidation allowBlank="1" showInputMessage="1" showErrorMessage="1" promptTitle="Choose type of connection" prompt="Mark by 'X' if you want choose this connection" sqref="F58" xr:uid="{00000000-0002-0000-0200-00000A000000}"/>
    <dataValidation type="custom" allowBlank="1" showInputMessage="1" promptTitle="Choose type of connection" prompt="Mark by 'X' if you want choose this connection" sqref="P44" xr:uid="{00000000-0002-0000-0200-00000B000000}">
      <formula1>EXACT(P44,"X")</formula1>
    </dataValidation>
    <dataValidation type="list" allowBlank="1" showInputMessage="1" sqref="F20" xr:uid="{00000000-0002-0000-0200-00000C000000}">
      <formula1>"Yes,No"</formula1>
    </dataValidation>
    <dataValidation allowBlank="1" showInputMessage="1" sqref="D68:D69" xr:uid="{00000000-0002-0000-0200-00000D000000}"/>
    <dataValidation type="list" allowBlank="1" showInputMessage="1" showErrorMessage="1" sqref="C97" xr:uid="{00000000-0002-0000-0200-00000E000000}">
      <formula1>$Y$118:$Y$2020</formula1>
    </dataValidation>
    <dataValidation type="list" allowBlank="1" showInputMessage="1" showErrorMessage="1" sqref="F71" xr:uid="{4EC412E4-3A7B-4639-9103-564C53EA395F}">
      <formula1>"None,Inject,One,All"</formula1>
    </dataValidation>
    <dataValidation allowBlank="1" showErrorMessage="1" promptTitle="Choose type of connection" sqref="J55" xr:uid="{9F4CD1DE-7E35-4997-8423-05D418879131}"/>
    <dataValidation allowBlank="1" showErrorMessage="1" promptTitle="Choose type of connection" prompt="Mark by 'X' if you want choose this connection" sqref="J45 F56 F66" xr:uid="{512C1462-F3AB-4307-95E2-233B74ECF503}"/>
  </dataValidations>
  <pageMargins left="0.7" right="0.7" top="0.75" bottom="0.75" header="0.3" footer="0.3"/>
  <headerFooter>
    <oddFooter>&amp;C&amp;1#&amp;"Helvetica 75 Bold"&amp;8&amp;KED7D31Orange Restricted</oddFooter>
  </headerFooter>
  <drawing r:id="rId5"/>
  <legacyDrawing r:id="rId7"/>
  <extLst>
    <ext uri="{CCE6A557-97BC-4b89-ADB6-D9C93CAAB3DF}">
      <x14:dataValidations xmlns:xm="http://schemas.microsoft.com/office/excel/2006/main" xWindow="1107" yWindow="488" count="15">
        <x14:dataValidation type="list" allowBlank="1" showInputMessage="1" showErrorMessage="1" xr:uid="{00000000-0002-0000-0200-00000F000000}">
          <x14:formula1>
            <xm:f>Config!$T$2:$T$7</xm:f>
          </x14:formula1>
          <xm:sqref>G82</xm:sqref>
        </x14:dataValidation>
        <x14:dataValidation type="list" allowBlank="1" showInputMessage="1" showErrorMessage="1" xr:uid="{00000000-0002-0000-0200-000010000000}">
          <x14:formula1>
            <xm:f>Conf_Format!$F$2:$F$12</xm:f>
          </x14:formula1>
          <xm:sqref>C55</xm:sqref>
        </x14:dataValidation>
        <x14:dataValidation type="list" allowBlank="1" showInputMessage="1" showErrorMessage="1" xr:uid="{00000000-0002-0000-0200-000012000000}">
          <x14:formula1>
            <xm:f>Config!$A$2:$A$30</xm:f>
          </x14:formula1>
          <xm:sqref>C15</xm:sqref>
        </x14:dataValidation>
        <x14:dataValidation type="list" allowBlank="1" showInputMessage="1" showErrorMessage="1" xr:uid="{00000000-0002-0000-0200-000013000000}">
          <x14:formula1>
            <xm:f>Config!$L$2:$L$5</xm:f>
          </x14:formula1>
          <xm:sqref>C90 C51</xm:sqref>
        </x14:dataValidation>
        <x14:dataValidation type="list" allowBlank="1" showInputMessage="1" xr:uid="{00000000-0002-0000-0200-000014000000}">
          <x14:formula1>
            <xm:f>Conf_Format!$A$2:$A$41</xm:f>
          </x14:formula1>
          <xm:sqref>C56</xm:sqref>
        </x14:dataValidation>
        <x14:dataValidation type="list" showInputMessage="1" xr:uid="{00000000-0002-0000-0200-000015000000}">
          <x14:formula1>
            <xm:f>Config!$Z$2:$Z$6</xm:f>
          </x14:formula1>
          <xm:sqref>C45</xm:sqref>
        </x14:dataValidation>
        <x14:dataValidation type="list" allowBlank="1" showInputMessage="1" xr:uid="{00000000-0002-0000-0200-000016000000}">
          <x14:formula1>
            <xm:f>Config!$X$2:$X$26</xm:f>
          </x14:formula1>
          <xm:sqref>P46</xm:sqref>
        </x14:dataValidation>
        <x14:dataValidation type="list" allowBlank="1" showInputMessage="1" xr:uid="{00000000-0002-0000-0200-000017000000}">
          <x14:formula1>
            <xm:f>Config!$V$2:$V$7</xm:f>
          </x14:formula1>
          <xm:sqref>P45</xm:sqref>
        </x14:dataValidation>
        <x14:dataValidation type="list" showInputMessage="1" xr:uid="{00000000-0002-0000-0200-000018000000}">
          <x14:formula1>
            <xm:f>Conf_Format!$H$2:$H$118</xm:f>
          </x14:formula1>
          <xm:sqref>C68</xm:sqref>
        </x14:dataValidation>
        <x14:dataValidation type="list" allowBlank="1" showInputMessage="1" showErrorMessage="1" xr:uid="{00000000-0002-0000-0200-00001A000000}">
          <x14:formula1>
            <xm:f>Config!$AB$2:$AB$4</xm:f>
          </x14:formula1>
          <xm:sqref>C52</xm:sqref>
        </x14:dataValidation>
        <x14:dataValidation type="list" allowBlank="1" showInputMessage="1" showErrorMessage="1" xr:uid="{00000000-0002-0000-0200-00001C000000}">
          <x14:formula1>
            <xm:f>Config!$AE$2:$AE$4</xm:f>
          </x14:formula1>
          <xm:sqref>C26</xm:sqref>
        </x14:dataValidation>
        <x14:dataValidation type="list" showInputMessage="1" xr:uid="{BC0ACDFB-409B-45E3-BCA1-813BA69F6FC3}">
          <x14:formula1>
            <xm:f>Conf_Format!$P$2:$P$53</xm:f>
          </x14:formula1>
          <xm:sqref>C69</xm:sqref>
        </x14:dataValidation>
        <x14:dataValidation type="list" allowBlank="1" showInputMessage="1" showErrorMessage="1" xr:uid="{A899F8CA-A675-4B6B-8EA6-CBFA885277A1}">
          <x14:formula1>
            <xm:f>Config!$AG$2:$AG$15</xm:f>
          </x14:formula1>
          <xm:sqref>C44</xm:sqref>
        </x14:dataValidation>
        <x14:dataValidation type="list" allowBlank="1" showInputMessage="1" showErrorMessage="1" xr:uid="{00000000-0002-0000-0200-000019000000}">
          <x14:formula1>
            <xm:f>Config!$N2:$N104</xm:f>
          </x14:formula1>
          <xm:sqref>C24</xm:sqref>
        </x14:dataValidation>
        <x14:dataValidation type="list" allowBlank="1" showInputMessage="1" showErrorMessage="1" xr:uid="{00000000-0002-0000-0200-00001B000000}">
          <x14:formula1>
            <xm:f>Config!AC2:AC4</xm:f>
          </x14:formula1>
          <xm:sqref>C99</xm:sqref>
        </x14:dataValidation>
      </x14:dataValidations>
    </ext>
  </extLst>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_rels/item2.xml.rels><?xml version="1.0" encoding="UTF-8" standalone="no"?><Relationships xmlns="http://schemas.openxmlformats.org/package/2006/relationships"><Relationship Id="rId1" Target="itemProps2.xml" Type="http://schemas.openxmlformats.org/officeDocument/2006/relationships/customXmlProps"/></Relationships>
</file>

<file path=customXml/_rels/item3.xml.rels><?xml version="1.0" encoding="UTF-8" standalone="no"?><Relationships xmlns="http://schemas.openxmlformats.org/package/2006/relationships"><Relationship Id="rId1" Target="itemProps3.xml" Type="http://schemas.openxmlformats.org/officeDocument/2006/relationships/customXmlProps"/></Relationships>
</file>

<file path=customXml/item1.xml><?xml version="1.0" encoding="utf-8"?>
<ct:contentTypeSchema xmlns:ct="http://schemas.microsoft.com/office/2006/metadata/contentType" xmlns:ma="http://schemas.microsoft.com/office/2006/metadata/properties/metaAttributes" ct:_="" ma:_="" ma:contentTypeName="Microsoft Word document" ma:contentTypeID="0x01010066910ADB61686C45A75A7A744D7D5C8E004A1B09DE8D434F4EB27F9C37D5DB124C" ma:contentTypeVersion="4" ma:contentTypeDescription="A blank Microsoft Word document." ma:contentTypeScope="" ma:versionID="c3e11d1f4d94a2028958c8bdf6c7c3ca">
  <xsd:schema xmlns:xsd="http://www.w3.org/2001/XMLSchema" xmlns:xs="http://www.w3.org/2001/XMLSchema" xmlns:p="http://schemas.microsoft.com/office/2006/metadata/properties" xmlns:ns2="9c97f8e9-86c7-4e99-9925-cc9540b321fe" targetNamespace="http://schemas.microsoft.com/office/2006/metadata/properties" ma:root="true" ma:fieldsID="cfbd2301ac82aa196fb32a98b2bb19ed" ns2:_="">
    <xsd:import namespace="9c97f8e9-86c7-4e99-9925-cc9540b321fe"/>
    <xsd:element name="properties">
      <xsd:complexType>
        <xsd:sequence>
          <xsd:element name="documentManagement">
            <xsd:complexType>
              <xsd:all>
                <xsd:element ref="ns2:Author0" minOccurs="0"/>
                <xsd:element ref="ns2:Description0" minOccurs="0"/>
                <xsd:element ref="ns2:Language" minOccurs="0"/>
                <xsd:element ref="ns2:DocType" minOccurs="0"/>
                <xsd:element ref="ns2:DocSource" minOccurs="0"/>
                <xsd:element ref="ns2:DocConf" minOccurs="0"/>
                <xsd:element ref="ns2:DocSt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c97f8e9-86c7-4e99-9925-cc9540b321fe" elementFormDefault="qualified">
    <xsd:import namespace="http://schemas.microsoft.com/office/2006/documentManagement/types"/>
    <xsd:import namespace="http://schemas.microsoft.com/office/infopath/2007/PartnerControls"/>
    <xsd:element name="Author0" ma:index="8" nillable="true" ma:displayName="Author" ma:internalName="Author0">
      <xsd:simpleType>
        <xsd:restriction base="dms:Text">
          <xsd:maxLength value="255"/>
        </xsd:restriction>
      </xsd:simpleType>
    </xsd:element>
    <xsd:element name="Description0" ma:index="9" nillable="true" ma:displayName="Description" ma:internalName="Description0">
      <xsd:simpleType>
        <xsd:restriction base="dms:Text">
          <xsd:maxLength value="255"/>
        </xsd:restriction>
      </xsd:simpleType>
    </xsd:element>
    <xsd:element name="Language" ma:index="10" nillable="true" ma:displayName="Language" ma:default="English" ma:format="Dropdown" ma:internalName="Language">
      <xsd:simpleType>
        <xsd:restriction base="dms:Choice">
          <xsd:enumeration value="English"/>
          <xsd:enumeration value="French"/>
          <xsd:enumeration value="Spanish"/>
          <xsd:enumeration value="Polish"/>
          <xsd:enumeration value="Other"/>
        </xsd:restriction>
      </xsd:simpleType>
    </xsd:element>
    <xsd:element name="DocType" ma:index="12" nillable="true" ma:displayName="Document model" ma:default="Other" ma:format="Dropdown" ma:internalName="DocType">
      <xsd:simpleType>
        <xsd:restriction base="dms:Choice">
          <xsd:enumeration value="Other"/>
          <xsd:enumeration value="Specifications"/>
          <xsd:enumeration value="Presentation"/>
          <xsd:enumeration value="Quality"/>
          <xsd:enumeration value="Legal"/>
          <xsd:enumeration value="Information"/>
          <xsd:enumeration value="Business"/>
          <xsd:enumeration value="Research"/>
        </xsd:restriction>
      </xsd:simpleType>
    </xsd:element>
    <xsd:element name="DocSource" ma:index="13" nillable="true" ma:displayName="From" ma:default="Internal" ma:format="Dropdown" ma:internalName="DocSource">
      <xsd:simpleType>
        <xsd:restriction base="dms:Choice">
          <xsd:enumeration value="Internal"/>
          <xsd:enumeration value="External"/>
        </xsd:restriction>
      </xsd:simpleType>
    </xsd:element>
    <xsd:element name="DocConf" ma:index="14" nillable="true" ma:displayName="Confidentiality" ma:default="Internal" ma:format="Dropdown" ma:internalName="DocConf">
      <xsd:simpleType>
        <xsd:restriction base="dms:Choice">
          <xsd:enumeration value="Internal"/>
          <xsd:enumeration value="Confidential"/>
          <xsd:enumeration value="Available to all"/>
        </xsd:restriction>
      </xsd:simpleType>
    </xsd:element>
    <xsd:element name="DocState" ma:index="15" nillable="true" ma:displayName="Status" ma:default="Finalised" ma:format="Dropdown" ma:internalName="DocState">
      <xsd:simpleType>
        <xsd:restriction base="dms:Choice">
          <xsd:enumeration value="Draft"/>
          <xsd:enumeration value="Finalised"/>
          <xsd:enumeration value="Confirmed"/>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ma:index="11" ma:displayName="Keywords"/>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DocSource xmlns="9c97f8e9-86c7-4e99-9925-cc9540b321fe">Internal</DocSource>
    <Language xmlns="9c97f8e9-86c7-4e99-9925-cc9540b321fe">English</Language>
    <DocType xmlns="9c97f8e9-86c7-4e99-9925-cc9540b321fe">Other</DocType>
    <DocState xmlns="9c97f8e9-86c7-4e99-9925-cc9540b321fe">Draft</DocState>
    <Author0 xmlns="9c97f8e9-86c7-4e99-9925-cc9540b321fe" xsi:nil="true"/>
    <Description0 xmlns="9c97f8e9-86c7-4e99-9925-cc9540b321fe" xsi:nil="true"/>
    <DocConf xmlns="9c97f8e9-86c7-4e99-9925-cc9540b321fe">Internal</DocCon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C892B2A-9A9A-4A9F-9F4F-01A4023FCC1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c97f8e9-86c7-4e99-9925-cc9540b321f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2CAA192-02CD-47BE-A380-085D6DEAFC55}">
  <ds:schemaRefs>
    <ds:schemaRef ds:uri="http://purl.org/dc/terms/"/>
    <ds:schemaRef ds:uri="http://schemas.openxmlformats.org/package/2006/metadata/core-properties"/>
    <ds:schemaRef ds:uri="http://schemas.microsoft.com/office/2006/documentManagement/types"/>
    <ds:schemaRef ds:uri="http://purl.org/dc/dcmitype/"/>
    <ds:schemaRef ds:uri="http://purl.org/dc/elements/1.1/"/>
    <ds:schemaRef ds:uri="http://schemas.microsoft.com/office/2006/metadata/properties"/>
    <ds:schemaRef ds:uri="9c97f8e9-86c7-4e99-9925-cc9540b321fe"/>
    <ds:schemaRef ds:uri="http://schemas.microsoft.com/office/infopath/2007/PartnerControls"/>
    <ds:schemaRef ds:uri="http://www.w3.org/XML/1998/namespace"/>
  </ds:schemaRefs>
</ds:datastoreItem>
</file>

<file path=customXml/itemProps3.xml><?xml version="1.0" encoding="utf-8"?>
<ds:datastoreItem xmlns:ds="http://schemas.openxmlformats.org/officeDocument/2006/customXml" ds:itemID="{B0AFA328-85B3-4C89-9606-27FD22964F60}">
  <ds:schemaRefs>
    <ds:schemaRef ds:uri="http://schemas.microsoft.com/sharepoint/v3/contenttype/forms"/>
  </ds:schemaRefs>
</ds:datastoreItem>
</file>

<file path=docMetadata/LabelInfo.xml><?xml version="1.0" encoding="utf-8"?>
<clbl:labelList xmlns:clbl="http://schemas.microsoft.com/office/2020/mipLabelMetadata">
  <clbl:label id="{e6c818a6-e1a0-4a6e-a969-20d857c5dc62}" enabled="1" method="Standard" siteId="{90c7a20a-f34b-40bf-bc48-b9253b6f5d20}" contentBits="2"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6</vt:i4>
      </vt:variant>
      <vt:variant>
        <vt:lpstr>Plages nommées</vt:lpstr>
      </vt:variant>
      <vt:variant>
        <vt:i4>32</vt:i4>
      </vt:variant>
    </vt:vector>
  </HeadingPairs>
  <TitlesOfParts>
    <vt:vector size="38" baseType="lpstr">
      <vt:lpstr>Index</vt:lpstr>
      <vt:lpstr>Document</vt:lpstr>
      <vt:lpstr>Template_DataSet</vt:lpstr>
      <vt:lpstr>Config</vt:lpstr>
      <vt:lpstr>Conf_categ</vt:lpstr>
      <vt:lpstr>Conf_Format</vt:lpstr>
      <vt:lpstr>Common</vt:lpstr>
      <vt:lpstr>Connectivity</vt:lpstr>
      <vt:lpstr>Device</vt:lpstr>
      <vt:lpstr>Device_Communication</vt:lpstr>
      <vt:lpstr>Enterprise_Management</vt:lpstr>
      <vt:lpstr>Finance</vt:lpstr>
      <vt:lpstr>Infrastructure</vt:lpstr>
      <vt:lpstr>Market_and_Customer_Relationship_Management</vt:lpstr>
      <vt:lpstr>Near_Network</vt:lpstr>
      <vt:lpstr>Not_Specified</vt:lpstr>
      <vt:lpstr>Offer_and_Product_Development_Mgt_and_Operations</vt:lpstr>
      <vt:lpstr>Document!Ref_Author</vt:lpstr>
      <vt:lpstr>Document!Ref_Date</vt:lpstr>
      <vt:lpstr>Document!Ref_Project</vt:lpstr>
      <vt:lpstr>Document!Ref_Reference</vt:lpstr>
      <vt:lpstr>Document!Ref_Status</vt:lpstr>
      <vt:lpstr>Document!Ref_SubProject</vt:lpstr>
      <vt:lpstr>Document!Ref_Title</vt:lpstr>
      <vt:lpstr>Document!Ref_URL</vt:lpstr>
      <vt:lpstr>Document!Ref_Usage</vt:lpstr>
      <vt:lpstr>Document!Ref_Validation</vt:lpstr>
      <vt:lpstr>Document!Ref_Version</vt:lpstr>
      <vt:lpstr>Resource_Development_Management_and_Operations</vt:lpstr>
      <vt:lpstr>Service</vt:lpstr>
      <vt:lpstr>Service_Control</vt:lpstr>
      <vt:lpstr>Service_Core</vt:lpstr>
      <vt:lpstr>Service_Development_Management_and_Operations</vt:lpstr>
      <vt:lpstr>Service_Enabling</vt:lpstr>
      <vt:lpstr>Service_Gateway</vt:lpstr>
      <vt:lpstr>Supplier_Partner_Development_and_Relationship_Mgt</vt:lpstr>
      <vt:lpstr>tbd</vt:lpstr>
      <vt:lpstr>User</vt:lpstr>
    </vt:vector>
  </TitlesOfParts>
  <Company>Capgemini AS France - Services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2001-01-16T13:49:35Z</dcterms:created>
  <dc:creator>MAAS Angélique</dc:creator>
  <cp:lastModifiedBy>PENCOLE Hermann OBS/CMI</cp:lastModifiedBy>
  <cp:lastPrinted>2012-10-26T15:24:03Z</cp:lastPrinted>
  <dcterms:modified xsi:type="dcterms:W3CDTF">2023-06-06T13:43:17Z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GroupName">
    <vt:lpwstr>Capgemini</vt:lpwstr>
  </property>
  <property fmtid="{D5CDD505-2E9C-101B-9397-08002B2CF9AE}" pid="3" name="DocRegionName">
    <vt:lpwstr>Capgemini AS France</vt:lpwstr>
  </property>
  <property fmtid="{D5CDD505-2E9C-101B-9397-08002B2CF9AE}" pid="4" name="DocEntityName">
    <vt:lpwstr>Services</vt:lpwstr>
  </property>
  <property fmtid="{D5CDD505-2E9C-101B-9397-08002B2CF9AE}" pid="5" name="DocUnitName">
    <vt:lpwstr/>
  </property>
  <property fmtid="{D5CDD505-2E9C-101B-9397-08002B2CF9AE}" pid="6" name="DocUnitAdr1">
    <vt:lpwstr>Immeuble Seine Etoile</vt:lpwstr>
  </property>
  <property fmtid="{D5CDD505-2E9C-101B-9397-08002B2CF9AE}" pid="7" name="DocUnitAdr2">
    <vt:lpwstr>7, rue Frédéric Clavel</vt:lpwstr>
  </property>
  <property fmtid="{D5CDD505-2E9C-101B-9397-08002B2CF9AE}" pid="8" name="DocUnitAdr3">
    <vt:lpwstr>92150 SURESNES</vt:lpwstr>
  </property>
  <property fmtid="{D5CDD505-2E9C-101B-9397-08002B2CF9AE}" pid="9" name="DocUnitAdr4">
    <vt:lpwstr>FRANCE</vt:lpwstr>
  </property>
  <property fmtid="{D5CDD505-2E9C-101B-9397-08002B2CF9AE}" pid="10" name="DocUnitAdr5">
    <vt:lpwstr/>
  </property>
  <property fmtid="{D5CDD505-2E9C-101B-9397-08002B2CF9AE}" pid="11" name="DocUnitPhone">
    <vt:lpwstr>Tél. : +33(0)1 49 00 40 00</vt:lpwstr>
  </property>
  <property fmtid="{D5CDD505-2E9C-101B-9397-08002B2CF9AE}" pid="12" name="DocUnitFax">
    <vt:lpwstr>Fax : +33(0)1 47 78 45 52</vt:lpwstr>
  </property>
  <property fmtid="{D5CDD505-2E9C-101B-9397-08002B2CF9AE}" pid="13" name="DocUnitEmail">
    <vt:lpwstr/>
  </property>
  <property fmtid="{D5CDD505-2E9C-101B-9397-08002B2CF9AE}" pid="14" name="DocProjectName">
    <vt:lpwstr>BI-MOBILE</vt:lpwstr>
  </property>
  <property fmtid="{D5CDD505-2E9C-101B-9397-08002B2CF9AE}" pid="15" name="DocProjectStreamName">
    <vt:lpwstr/>
  </property>
  <property fmtid="{D5CDD505-2E9C-101B-9397-08002B2CF9AE}" pid="16" name="DocTitle">
    <vt:lpwstr>Mapping Vues Métier</vt:lpwstr>
  </property>
  <property fmtid="{D5CDD505-2E9C-101B-9397-08002B2CF9AE}" pid="17" name="DocType">
    <vt:lpwstr>SFD: Spécification Fonctionnelle Détaillée</vt:lpwstr>
  </property>
  <property fmtid="{D5CDD505-2E9C-101B-9397-08002B2CF9AE}" pid="18" name="DocUsage">
    <vt:lpwstr/>
  </property>
  <property fmtid="{D5CDD505-2E9C-101B-9397-08002B2CF9AE}" pid="19" name="DocVersion">
    <vt:lpwstr>V11.0</vt:lpwstr>
  </property>
  <property fmtid="{D5CDD505-2E9C-101B-9397-08002B2CF9AE}" pid="20" name="DocProjectId">
    <vt:lpwstr>BIM</vt:lpwstr>
  </property>
  <property fmtid="{D5CDD505-2E9C-101B-9397-08002B2CF9AE}" pid="21" name="DocProjectStreamId">
    <vt:lpwstr/>
  </property>
  <property fmtid="{D5CDD505-2E9C-101B-9397-08002B2CF9AE}" pid="22" name="DocProjectSerialNumber">
    <vt:lpwstr>0154</vt:lpwstr>
  </property>
  <property fmtid="{D5CDD505-2E9C-101B-9397-08002B2CF9AE}" pid="23" name="DocURL">
    <vt:lpwstr>https://coconet2.capgemini.com</vt:lpwstr>
  </property>
  <property fmtid="{D5CDD505-2E9C-101B-9397-08002B2CF9AE}" pid="24" name="DocUpdate">
    <vt:lpwstr>14/12/2015</vt:lpwstr>
  </property>
  <property fmtid="{D5CDD505-2E9C-101B-9397-08002B2CF9AE}" pid="25" name="DocCreation">
    <vt:lpwstr>14/11/2013</vt:lpwstr>
  </property>
  <property fmtid="{D5CDD505-2E9C-101B-9397-08002B2CF9AE}" pid="26" name="DocStatus">
    <vt:lpwstr>En cours/Draft</vt:lpwstr>
  </property>
  <property fmtid="{D5CDD505-2E9C-101B-9397-08002B2CF9AE}" pid="27" name="DocAuthor">
    <vt:lpwstr>CANDEAU Paul</vt:lpwstr>
  </property>
  <property fmtid="{D5CDD505-2E9C-101B-9397-08002B2CF9AE}" pid="28" name="DocRef">
    <vt:lpwstr>BIM/0154</vt:lpwstr>
  </property>
  <property fmtid="{D5CDD505-2E9C-101B-9397-08002B2CF9AE}" pid="29" name="DocValidationName">
    <vt:lpwstr/>
  </property>
  <property fmtid="{D5CDD505-2E9C-101B-9397-08002B2CF9AE}" pid="30" name="DocCustomerName">
    <vt:lpwstr>ORANGE</vt:lpwstr>
  </property>
  <property fmtid="{D5CDD505-2E9C-101B-9397-08002B2CF9AE}" pid="31" name="DocLanguage">
    <vt:lpwstr>FR</vt:lpwstr>
  </property>
  <property fmtid="{D5CDD505-2E9C-101B-9397-08002B2CF9AE}" pid="32" name="DocModelName">
    <vt:lpwstr>Excel générique</vt:lpwstr>
  </property>
  <property fmtid="{D5CDD505-2E9C-101B-9397-08002B2CF9AE}" pid="33" name="DocModelRef">
    <vt:lpwstr>ASFR/IREF/0011</vt:lpwstr>
  </property>
  <property fmtid="{D5CDD505-2E9C-101B-9397-08002B2CF9AE}" pid="34" name="DocModelVersion">
    <vt:lpwstr>02.0</vt:lpwstr>
  </property>
  <property fmtid="{D5CDD505-2E9C-101B-9397-08002B2CF9AE}" pid="35" name="DocCopyright">
    <vt:lpwstr>© 2012 Capgemini</vt:lpwstr>
  </property>
  <property fmtid="{D5CDD505-2E9C-101B-9397-08002B2CF9AE}" pid="36" name="DocMethodName">
    <vt:lpwstr>DELIVER2</vt:lpwstr>
  </property>
  <property fmtid="{D5CDD505-2E9C-101B-9397-08002B2CF9AE}" pid="37" name="DocLibreDoc">
    <vt:lpwstr/>
  </property>
  <property fmtid="{D5CDD505-2E9C-101B-9397-08002B2CF9AE}" pid="38" name="DocModelAdmin">
    <vt:lpwstr>ASFR/IREF</vt:lpwstr>
  </property>
  <property fmtid="{D5CDD505-2E9C-101B-9397-08002B2CF9AE}" pid="39" name="DocSite">
    <vt:lpwstr>Suresnes</vt:lpwstr>
  </property>
  <property fmtid="{D5CDD505-2E9C-101B-9397-08002B2CF9AE}" pid="40" name="_NewReviewCycle">
    <vt:lpwstr/>
  </property>
  <property fmtid="{D5CDD505-2E9C-101B-9397-08002B2CF9AE}" pid="41" name="ContentTypeId">
    <vt:lpwstr>0x01010066910ADB61686C45A75A7A744D7D5C8E004A1B09DE8D434F4EB27F9C37D5DB124C</vt:lpwstr>
  </property>
  <property fmtid="{D5CDD505-2E9C-101B-9397-08002B2CF9AE}" pid="42" name="_dlc_DocIdItemGuid">
    <vt:lpwstr>7f507383-d2ba-433a-ac39-91e889ebd2eb</vt:lpwstr>
  </property>
  <property fmtid="{D5CDD505-2E9C-101B-9397-08002B2CF9AE}" pid="43" name="WorkbookGuid">
    <vt:lpwstr>30200a08-aab0-4ff3-a94b-9973e1b970c8</vt:lpwstr>
  </property>
  <property fmtid="{D5CDD505-2E9C-101B-9397-08002B2CF9AE}" pid="44" name="Offisync_ProviderInitializationData">
    <vt:lpwstr>https://plazza.orange.com</vt:lpwstr>
  </property>
  <property fmtid="{D5CDD505-2E9C-101B-9397-08002B2CF9AE}" pid="45" name="Offisync_UniqueId">
    <vt:lpwstr>405329</vt:lpwstr>
  </property>
  <property fmtid="{D5CDD505-2E9C-101B-9397-08002B2CF9AE}" pid="46" name="Offisync_UpdateToken">
    <vt:lpwstr>1</vt:lpwstr>
  </property>
  <property fmtid="{D5CDD505-2E9C-101B-9397-08002B2CF9AE}" pid="47" name="Jive_VersionGuid">
    <vt:lpwstr>d2831077-133c-4f3b-a8b9-2631876f0652</vt:lpwstr>
  </property>
  <property fmtid="{D5CDD505-2E9C-101B-9397-08002B2CF9AE}" pid="48" name="Offisync_ServerID">
    <vt:lpwstr>1abe28f6-4eb5-42e6-bbff-1356c852cf7b</vt:lpwstr>
  </property>
  <property fmtid="{D5CDD505-2E9C-101B-9397-08002B2CF9AE}" pid="49" name="Jive_LatestUserAccountName">
    <vt:lpwstr>romain.reymond@cgi.com</vt:lpwstr>
  </property>
  <property fmtid="{D5CDD505-2E9C-101B-9397-08002B2CF9AE}" pid="50" name="MSIP_Label_e6c818a6-e1a0-4a6e-a969-20d857c5dc62_Enabled">
    <vt:lpwstr>true</vt:lpwstr>
  </property>
  <property fmtid="{D5CDD505-2E9C-101B-9397-08002B2CF9AE}" pid="51" name="MSIP_Label_e6c818a6-e1a0-4a6e-a969-20d857c5dc62_SetDate">
    <vt:lpwstr>2023-03-10T13:47:31Z</vt:lpwstr>
  </property>
  <property fmtid="{D5CDD505-2E9C-101B-9397-08002B2CF9AE}" pid="52" name="MSIP_Label_e6c818a6-e1a0-4a6e-a969-20d857c5dc62_Method">
    <vt:lpwstr>Standard</vt:lpwstr>
  </property>
  <property fmtid="{D5CDD505-2E9C-101B-9397-08002B2CF9AE}" pid="53" name="MSIP_Label_e6c818a6-e1a0-4a6e-a969-20d857c5dc62_Name">
    <vt:lpwstr>Orange_restricted_internal.2</vt:lpwstr>
  </property>
  <property fmtid="{D5CDD505-2E9C-101B-9397-08002B2CF9AE}" pid="54" name="MSIP_Label_e6c818a6-e1a0-4a6e-a969-20d857c5dc62_SiteId">
    <vt:lpwstr>90c7a20a-f34b-40bf-bc48-b9253b6f5d20</vt:lpwstr>
  </property>
  <property fmtid="{D5CDD505-2E9C-101B-9397-08002B2CF9AE}" pid="55" name="MSIP_Label_e6c818a6-e1a0-4a6e-a969-20d857c5dc62_ActionId">
    <vt:lpwstr>a97eb452-7834-4fc6-968a-ca020c8cd97a</vt:lpwstr>
  </property>
  <property fmtid="{D5CDD505-2E9C-101B-9397-08002B2CF9AE}" pid="56" name="MSIP_Label_e6c818a6-e1a0-4a6e-a969-20d857c5dc62_ContentBits">
    <vt:lpwstr>2</vt:lpwstr>
  </property>
</Properties>
</file>